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6.xml" ContentType="application/vnd.openxmlformats-officedocument.spreadsheetml.comments+xml"/>
  <Override PartName="/xl/drawings/drawing19.xml" ContentType="application/vnd.openxmlformats-officedocument.drawing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/>
  <mc:AlternateContent xmlns:mc="http://schemas.openxmlformats.org/markup-compatibility/2006">
    <mc:Choice Requires="x15">
      <x15ac:absPath xmlns:x15ac="http://schemas.microsoft.com/office/spreadsheetml/2010/11/ac" url="/Users/charlesjardine/Projects/ISSB Forms/"/>
    </mc:Choice>
  </mc:AlternateContent>
  <xr:revisionPtr revIDLastSave="0" documentId="8_{4530578B-5DC8-9E41-805D-EAFB5FD73806}" xr6:coauthVersionLast="46" xr6:coauthVersionMax="46" xr10:uidLastSave="{00000000-0000-0000-0000-000000000000}"/>
  <bookViews>
    <workbookView xWindow="-15740" yWindow="-24940" windowWidth="29040" windowHeight="15840" tabRatio="977" xr2:uid="{00000000-000D-0000-FFFF-FFFF00000000}"/>
  </bookViews>
  <sheets>
    <sheet name="Corby Welded 1" sheetId="1" r:id="rId1"/>
    <sheet name="Corby Welded 6" sheetId="8" r:id="rId2"/>
    <sheet name="Corby Welded 7" sheetId="9" r:id="rId3"/>
    <sheet name="Hartlepool 1" sheetId="2" r:id="rId4"/>
    <sheet name="Hartlepool 6" sheetId="10" r:id="rId5"/>
    <sheet name="Hartlepool 7" sheetId="11" r:id="rId6"/>
    <sheet name="Shotton 1" sheetId="5" r:id="rId7"/>
    <sheet name="Shotton 6" sheetId="12" r:id="rId8"/>
    <sheet name="Shotton 7" sheetId="13" r:id="rId9"/>
    <sheet name="Llanwern 1" sheetId="3" r:id="rId10"/>
    <sheet name="Llanwern 6" sheetId="14" r:id="rId11"/>
    <sheet name="Llanwern 7" sheetId="15" r:id="rId12"/>
    <sheet name="Port Talbot 1" sheetId="4" r:id="rId13"/>
    <sheet name="Port Talbot 2" sheetId="7" r:id="rId14"/>
    <sheet name="Port Talbot 6" sheetId="16" r:id="rId15"/>
    <sheet name="Port Talbot 7" sheetId="18" r:id="rId16"/>
    <sheet name="Trostre 1" sheetId="6" r:id="rId17"/>
    <sheet name="Trostre 6" sheetId="17" r:id="rId18"/>
    <sheet name="Trostre 7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F11" i="13" l="1"/>
  <c r="CF12" i="13"/>
  <c r="CF13" i="13"/>
  <c r="CF14" i="13"/>
  <c r="CF15" i="13"/>
  <c r="CF16" i="13"/>
  <c r="CF17" i="13"/>
  <c r="CF18" i="13"/>
  <c r="CF10" i="13"/>
  <c r="CF17" i="12"/>
  <c r="CF18" i="12"/>
  <c r="CF11" i="12"/>
  <c r="CF12" i="12"/>
  <c r="CF13" i="12"/>
  <c r="CF14" i="12"/>
  <c r="CF15" i="12"/>
  <c r="CF16" i="12"/>
  <c r="CF10" i="12"/>
  <c r="CF11" i="11"/>
  <c r="CF11" i="10"/>
  <c r="CF10" i="10"/>
  <c r="CF12" i="9"/>
  <c r="CF11" i="9"/>
  <c r="CF13" i="9"/>
  <c r="CF10" i="9"/>
  <c r="CF11" i="8"/>
  <c r="CF12" i="8"/>
  <c r="CF13" i="8"/>
  <c r="CF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5DF7140F-E7DF-4DA6-8863-373E8C642E1D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DEF3CA97-23BF-4040-A1CD-53436D0DDD7B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F1603183-4FB0-4612-8124-4550D9F43300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C8B078D5-24C3-4518-A3EF-7892BD0605F4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7" authorId="0" shapeId="0" xr:uid="{09233D5D-C5E0-4325-9476-FC135964381C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00050BD3-8F2D-4F8C-AB26-00FE67336B4E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C94FB605-AD1B-4272-BF2F-9916518F0CCE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7" authorId="0" shapeId="0" xr:uid="{929B1AB2-3551-4EFF-A05E-25624862F692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D41814B3-B767-483F-92AE-59FDE43C37E6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F698B513-C397-4101-BB59-C9B6F8CDBF06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7" authorId="0" shapeId="0" xr:uid="{8E02B16D-50F4-4B30-8416-1DBCFE9F9587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CECD052D-EF71-48B5-8AFA-8ACF22035BCA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  <comment ref="C18" authorId="0" shapeId="0" xr:uid="{A5AE68A1-D876-456F-AC39-7E25CD579BCE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Should match C9.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A03DB40C-15C4-434E-8068-CC2CCC3541EE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A7429E1E-8139-46A4-8069-5E6D2C1B27E8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FBD3CD58-CD8D-4E26-B635-AF8CA3FD7200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Abbie Connolly</author>
  </authors>
  <commentList>
    <comment ref="A9" authorId="0" shapeId="0" xr:uid="{E51521AC-9A65-4510-921D-F3C2034ED34D}">
      <text>
        <r>
          <rPr>
            <b/>
            <sz val="9"/>
            <color indexed="81"/>
            <rFont val="Tahoma"/>
            <family val="2"/>
          </rPr>
          <t>Abbie Connolly:</t>
        </r>
        <r>
          <rPr>
            <sz val="9"/>
            <color indexed="81"/>
            <rFont val="Tahoma"/>
            <family val="2"/>
          </rPr>
          <t xml:space="preserve">
Split in the same way as trade: all steel - semis - longs - flats - tubes</t>
        </r>
      </text>
    </comment>
  </commentList>
</comments>
</file>

<file path=xl/sharedStrings.xml><?xml version="1.0" encoding="utf-8"?>
<sst xmlns="http://schemas.openxmlformats.org/spreadsheetml/2006/main" count="1368" uniqueCount="176">
  <si>
    <t>External Deliveries</t>
  </si>
  <si>
    <t>Full Product Breakdown</t>
  </si>
  <si>
    <t>Product Description</t>
  </si>
  <si>
    <t>Finished Steel Production</t>
  </si>
  <si>
    <t>Stocks Held</t>
  </si>
  <si>
    <t>Receipts of Steel Products</t>
  </si>
  <si>
    <t xml:space="preserve">LINE PIPE:S/ARC WELD&gt;406.4                                  </t>
  </si>
  <si>
    <t xml:space="preserve">LINEPIPE:LONG/W 406.4&lt;508,NA                                </t>
  </si>
  <si>
    <t xml:space="preserve">CASING, WELDED &gt; 406.4MM                                    </t>
  </si>
  <si>
    <t xml:space="preserve">TUBES: LONG WELD&gt;406.4 ALLOY                                </t>
  </si>
  <si>
    <t>Company Name:</t>
  </si>
  <si>
    <t>Company Number:</t>
  </si>
  <si>
    <t>Reporting Period:</t>
  </si>
  <si>
    <t xml:space="preserve">HRWS, UNPICKLED, &lt;3MM                                       </t>
  </si>
  <si>
    <t xml:space="preserve">HRWS, UNPICKLED, 3-4.75MM                                   </t>
  </si>
  <si>
    <t xml:space="preserve">HRWS, UNPICKLED, 4.75-10MM                                  </t>
  </si>
  <si>
    <t xml:space="preserve">HR WIDE STRIP/PICKLED/3-4.75                                </t>
  </si>
  <si>
    <t xml:space="preserve">HR WIDE STRIP/PICKLED &gt;4.75                                 </t>
  </si>
  <si>
    <t xml:space="preserve">F/W PLATE/SHEET, OTHER ALLOY                                </t>
  </si>
  <si>
    <t xml:space="preserve">HDG PLATE/SHEET, ALLOY                                      </t>
  </si>
  <si>
    <t xml:space="preserve">CRNS, C &gt; 0.6%                                              </t>
  </si>
  <si>
    <t xml:space="preserve">HDG PLAIN SHEET, &lt; 4.75MM                                   </t>
  </si>
  <si>
    <t xml:space="preserve">HD GALVANISED PLAIN SHEET                                   </t>
  </si>
  <si>
    <t xml:space="preserve">CR SHEET &gt;600 &gt;1&lt;3 N/ALLOY                                  </t>
  </si>
  <si>
    <t xml:space="preserve">CR COIL SHEET &gt;600 &gt;1&lt;3 N/A                                 </t>
  </si>
  <si>
    <t xml:space="preserve">HRWS &lt; 3MM, OTHER                                           </t>
  </si>
  <si>
    <t xml:space="preserve">HRWS, 3 - 4.75MM, OTHER                                     </t>
  </si>
  <si>
    <t xml:space="preserve">FLOORPLATE IN COIL:NON ALLOY                                </t>
  </si>
  <si>
    <t>Breeze and Nuts</t>
  </si>
  <si>
    <t>Stock Adjustment</t>
  </si>
  <si>
    <t>Stocks and period end</t>
  </si>
  <si>
    <t>Other Consumption</t>
  </si>
  <si>
    <t>Coke Imports</t>
  </si>
  <si>
    <t>Coke Production</t>
  </si>
  <si>
    <t xml:space="preserve">Total Usable Iron </t>
  </si>
  <si>
    <t>NET LIQUID STEEL</t>
  </si>
  <si>
    <t>REFINED FERRO-MANGANESE</t>
  </si>
  <si>
    <t>HIGH CARBON FERRO-MANGANESE</t>
  </si>
  <si>
    <t>OTHER ADDITIVES</t>
  </si>
  <si>
    <t>DOLOMITE</t>
  </si>
  <si>
    <t>LIME</t>
  </si>
  <si>
    <t>LOW CARBON FE MN ORE</t>
  </si>
  <si>
    <t>OTHER FERRO ALLOYS &amp; FINISH'</t>
  </si>
  <si>
    <t>SCALE &amp; OTHER OXIDES</t>
  </si>
  <si>
    <t>HOME IRON ORE LUMP</t>
  </si>
  <si>
    <t>IRON ORE -PELLETS</t>
  </si>
  <si>
    <t>IRON &amp; STEEL SCRAP</t>
  </si>
  <si>
    <t>COLD IRON</t>
  </si>
  <si>
    <t>MOLTEN IRON</t>
  </si>
  <si>
    <t>TOTAL CRUDE STEEL</t>
  </si>
  <si>
    <t>TOTAL CASTING METAL</t>
  </si>
  <si>
    <t>OTHER ALLOY CASTING METAL</t>
  </si>
  <si>
    <t>TOTAL USABLE CONCAST</t>
  </si>
  <si>
    <t>CONCAST SONDERBAUSTAHL</t>
  </si>
  <si>
    <t>CONCAST BEARING,TOOL &amp; ENG'</t>
  </si>
  <si>
    <t>CONCAST STAINLESS</t>
  </si>
  <si>
    <t>CONCAST NON ALLOY</t>
  </si>
  <si>
    <t>GROSS LIQUID STEEL</t>
  </si>
  <si>
    <t>Sinter plants</t>
  </si>
  <si>
    <t>SMALLS AND BREEZE</t>
  </si>
  <si>
    <t>FURNACE COKE</t>
  </si>
  <si>
    <t>OTHER - COAL</t>
  </si>
  <si>
    <t>TOTAL COAL FOR CARBONISATION</t>
  </si>
  <si>
    <t>TONNES</t>
  </si>
  <si>
    <t>Oxygen Converter (BOS)</t>
  </si>
  <si>
    <t xml:space="preserve">CR PLATE                                                    </t>
  </si>
  <si>
    <t xml:space="preserve">ALLOY HOT DIPPED GALV STRIP                                 </t>
  </si>
  <si>
    <t xml:space="preserve">ECCS STRIP LESS THAN 600MM WIDE                             </t>
  </si>
  <si>
    <t xml:space="preserve">PAINT/PLASTIC COATED STRIP                                  </t>
  </si>
  <si>
    <t xml:space="preserve">OTHER PAINT/PLASTIC COATED SHEET                            </t>
  </si>
  <si>
    <t xml:space="preserve">ECCS (TFS)                                                  </t>
  </si>
  <si>
    <t>Form Number</t>
  </si>
  <si>
    <t xml:space="preserve">Form Number </t>
  </si>
  <si>
    <t>Corby Welded</t>
  </si>
  <si>
    <t>Hartlepool</t>
  </si>
  <si>
    <t>Shotton</t>
  </si>
  <si>
    <t>Port Talbot</t>
  </si>
  <si>
    <t>Trostre</t>
  </si>
  <si>
    <t>Llanwern</t>
  </si>
  <si>
    <t>Coke Oven consumption</t>
  </si>
  <si>
    <t>Regrading's</t>
  </si>
  <si>
    <t xml:space="preserve"> </t>
  </si>
  <si>
    <t>0001</t>
  </si>
  <si>
    <t>0002</t>
  </si>
  <si>
    <t>Form No:</t>
  </si>
  <si>
    <t>0006</t>
  </si>
  <si>
    <t>FRANCE</t>
  </si>
  <si>
    <t>BELGIUM</t>
  </si>
  <si>
    <t>NETHERLANDS</t>
  </si>
  <si>
    <t>GERMANY</t>
  </si>
  <si>
    <t>ITALY</t>
  </si>
  <si>
    <t>UNITED KINGDOM</t>
  </si>
  <si>
    <t>IRISH REPUBLIC</t>
  </si>
  <si>
    <t>DENMARK</t>
  </si>
  <si>
    <t>GREECE</t>
  </si>
  <si>
    <t>PORTUGAL</t>
  </si>
  <si>
    <t>SPAIN</t>
  </si>
  <si>
    <t>LUXEMBOURG</t>
  </si>
  <si>
    <t>NORWAY</t>
  </si>
  <si>
    <t>SWEDEN</t>
  </si>
  <si>
    <t>FINLAND</t>
  </si>
  <si>
    <t>AUSTRIA</t>
  </si>
  <si>
    <t>SWITZERLAND</t>
  </si>
  <si>
    <t>TURKEY</t>
  </si>
  <si>
    <t>ESTONIA</t>
  </si>
  <si>
    <t>LATVIA</t>
  </si>
  <si>
    <t>LITHUANIA</t>
  </si>
  <si>
    <t>POLAND</t>
  </si>
  <si>
    <t>CZECH REPUBLIC</t>
  </si>
  <si>
    <t>SLOVAKIA</t>
  </si>
  <si>
    <t>HUNGARY</t>
  </si>
  <si>
    <t>ROMANIA</t>
  </si>
  <si>
    <t>BULGARIA</t>
  </si>
  <si>
    <t>UKRAINE</t>
  </si>
  <si>
    <t>BELARUS</t>
  </si>
  <si>
    <t>RUSSIA</t>
  </si>
  <si>
    <t>SLOVENIA</t>
  </si>
  <si>
    <t>CROATIA</t>
  </si>
  <si>
    <t>SERBIA</t>
  </si>
  <si>
    <t>MOROCCO</t>
  </si>
  <si>
    <t>ALGERIA</t>
  </si>
  <si>
    <t>TUNISIA</t>
  </si>
  <si>
    <t>EGYPT</t>
  </si>
  <si>
    <t>GUINEA</t>
  </si>
  <si>
    <t>GHANA</t>
  </si>
  <si>
    <t>KENYA</t>
  </si>
  <si>
    <t>MAURITIUS</t>
  </si>
  <si>
    <t>SOUTH AFRICA</t>
  </si>
  <si>
    <t>USA</t>
  </si>
  <si>
    <t>CANADA</t>
  </si>
  <si>
    <t>MEXICO</t>
  </si>
  <si>
    <t>GUATEMALA</t>
  </si>
  <si>
    <t>EL SALVADOR</t>
  </si>
  <si>
    <t>BAHAMAS</t>
  </si>
  <si>
    <t>GUADELOUPE</t>
  </si>
  <si>
    <t>MARTINIQUE</t>
  </si>
  <si>
    <t>TRINIDAD AND TOBAGO</t>
  </si>
  <si>
    <t>COLOMBIA</t>
  </si>
  <si>
    <t>GUYANA</t>
  </si>
  <si>
    <t>PERU</t>
  </si>
  <si>
    <t>BRAZIL</t>
  </si>
  <si>
    <t>CHILE</t>
  </si>
  <si>
    <t>ARGENTINA</t>
  </si>
  <si>
    <t>CYPRUS</t>
  </si>
  <si>
    <t>ISRAEL</t>
  </si>
  <si>
    <t>JORDAN</t>
  </si>
  <si>
    <t>SAUDI ARABIA</t>
  </si>
  <si>
    <t>KUWAIT</t>
  </si>
  <si>
    <t>BAHRAIN</t>
  </si>
  <si>
    <t>QATAR</t>
  </si>
  <si>
    <t>UNITED ARAB EMIRATES</t>
  </si>
  <si>
    <t>PAKISTAN</t>
  </si>
  <si>
    <t>INDIA</t>
  </si>
  <si>
    <t>SRI LANKA</t>
  </si>
  <si>
    <t>THAILAND</t>
  </si>
  <si>
    <t>VIETNAM</t>
  </si>
  <si>
    <t>INDONESIA</t>
  </si>
  <si>
    <t>MALAYSIA</t>
  </si>
  <si>
    <t>SINGAPORE</t>
  </si>
  <si>
    <t>CHINA</t>
  </si>
  <si>
    <t>SOUTH KOREA</t>
  </si>
  <si>
    <t>JAPAN</t>
  </si>
  <si>
    <t>TAIWAN</t>
  </si>
  <si>
    <t>HONG KONG</t>
  </si>
  <si>
    <t>AUSTRALIA</t>
  </si>
  <si>
    <t>NEW ZEALAND</t>
  </si>
  <si>
    <t>U.K. PACIFIC ISLANDS</t>
  </si>
  <si>
    <t>TOTAL</t>
  </si>
  <si>
    <t>UNALLOCATED</t>
  </si>
  <si>
    <t>0007</t>
  </si>
  <si>
    <t>Exports Tonnes</t>
  </si>
  <si>
    <t>Exports Value (GBP)</t>
  </si>
  <si>
    <t>Consumers Tonnes</t>
  </si>
  <si>
    <t>Consumers Values</t>
  </si>
  <si>
    <t>Stockholders Tonnes</t>
  </si>
  <si>
    <t>Stockholders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</si>
</sst>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3" fillId="0" borderId="10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3" fillId="0" borderId="14" xfId="0" applyFont="1" applyBorder="1"/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/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0" xfId="0" applyFont="1"/>
    <xf numFmtId="0" fontId="3" fillId="0" borderId="1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/>
    <xf numFmtId="0" fontId="3" fillId="0" borderId="3" xfId="0" applyFont="1" applyBorder="1" applyAlignment="1">
      <alignment horizontal="left" vertical="center" wrapText="1"/>
    </xf>
    <xf numFmtId="17" fontId="3" fillId="0" borderId="3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1" fontId="3" fillId="0" borderId="3" xfId="0" quotePrefix="1" applyNumberFormat="1" applyFont="1" applyBorder="1" applyAlignment="1">
      <alignment horizontal="left" vertical="center" wrapText="1"/>
    </xf>
    <xf numFmtId="0" fontId="3" fillId="0" borderId="1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" fontId="3" fillId="0" borderId="15" xfId="0" quotePrefix="1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1" fontId="3" fillId="0" borderId="0" xfId="0" quotePrefix="1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0" borderId="0" xfId="0" quotePrefix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807720</xdr:colOff>
      <xdr:row>0</xdr:row>
      <xdr:rowOff>30479</xdr:rowOff>
    </xdr:from>
    <xdr:to>
      <xdr:col>10</xdr:col>
      <xdr:colOff>1568162</xdr:colOff>
      <xdr:row>1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C95C06-A8D8-4008-904D-887A28A48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720" y="30479"/>
          <a:ext cx="789017" cy="373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CFD75930-1E1E-47FA-9BB8-E0A818146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8113BCB0-6E97-46C1-A358-1A04D33CC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794658</xdr:colOff>
      <xdr:row>0</xdr:row>
      <xdr:rowOff>32657</xdr:rowOff>
    </xdr:from>
    <xdr:ext cx="779492" cy="371476"/>
    <xdr:pic>
      <xdr:nvPicPr>
        <xdr:cNvPr id="2" name="Picture 1">
          <a:extLst>
            <a:ext uri="{FF2B5EF4-FFF2-40B4-BE49-F238E27FC236}">
              <a16:creationId xmlns:a16="http://schemas.microsoft.com/office/drawing/2014/main" id="{3B9A1B06-71CC-47D0-976A-674B7D0F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683" y="32657"/>
          <a:ext cx="779492" cy="37147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BF3E9C15-8249-4DF5-95B4-452BB658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207AD83B-7170-4D95-AF2A-12D06CAA7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784860</xdr:colOff>
      <xdr:row>0</xdr:row>
      <xdr:rowOff>30480</xdr:rowOff>
    </xdr:from>
    <xdr:ext cx="789017" cy="371476"/>
    <xdr:pic>
      <xdr:nvPicPr>
        <xdr:cNvPr id="2" name="Picture 1">
          <a:extLst>
            <a:ext uri="{FF2B5EF4-FFF2-40B4-BE49-F238E27FC236}">
              <a16:creationId xmlns:a16="http://schemas.microsoft.com/office/drawing/2014/main" id="{F9D7E333-C3A0-4798-AA3B-C9998A07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410" y="30480"/>
          <a:ext cx="789017" cy="37147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2C5ECBB8-5204-42B8-83F3-89AE714C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F9A211F3-DA2E-44D7-854D-6A678AB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777240</xdr:colOff>
      <xdr:row>0</xdr:row>
      <xdr:rowOff>22860</xdr:rowOff>
    </xdr:from>
    <xdr:ext cx="789017" cy="371476"/>
    <xdr:pic>
      <xdr:nvPicPr>
        <xdr:cNvPr id="2" name="Picture 1">
          <a:extLst>
            <a:ext uri="{FF2B5EF4-FFF2-40B4-BE49-F238E27FC236}">
              <a16:creationId xmlns:a16="http://schemas.microsoft.com/office/drawing/2014/main" id="{75BA4AB6-26C6-4449-BF5F-F1226A15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790" y="22860"/>
          <a:ext cx="789017" cy="37147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A5DD38C6-CE73-497A-9D0F-05B6649D3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1C6CEE80-45A5-4B3B-BEEB-33939D85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815340</xdr:colOff>
      <xdr:row>0</xdr:row>
      <xdr:rowOff>38100</xdr:rowOff>
    </xdr:from>
    <xdr:ext cx="760442" cy="371476"/>
    <xdr:pic>
      <xdr:nvPicPr>
        <xdr:cNvPr id="2" name="Picture 1">
          <a:extLst>
            <a:ext uri="{FF2B5EF4-FFF2-40B4-BE49-F238E27FC236}">
              <a16:creationId xmlns:a16="http://schemas.microsoft.com/office/drawing/2014/main" id="{5FB00ED3-87BF-4949-9304-5279AC365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790" y="38100"/>
          <a:ext cx="760442" cy="37147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815340</xdr:colOff>
      <xdr:row>0</xdr:row>
      <xdr:rowOff>0</xdr:rowOff>
    </xdr:from>
    <xdr:ext cx="760442" cy="371476"/>
    <xdr:pic>
      <xdr:nvPicPr>
        <xdr:cNvPr id="2" name="Picture 1">
          <a:extLst>
            <a:ext uri="{FF2B5EF4-FFF2-40B4-BE49-F238E27FC236}">
              <a16:creationId xmlns:a16="http://schemas.microsoft.com/office/drawing/2014/main" id="{3451DA84-18E7-45E7-B833-8B3D48C2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5240" y="38100"/>
          <a:ext cx="760442" cy="37147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0232979E-8AD6-4A20-BC54-87A5F53C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8BDAACA5-F2BB-4237-B2E5-B7B4EE7F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794658</xdr:colOff>
      <xdr:row>0</xdr:row>
      <xdr:rowOff>21772</xdr:rowOff>
    </xdr:from>
    <xdr:ext cx="779492" cy="371476"/>
    <xdr:pic>
      <xdr:nvPicPr>
        <xdr:cNvPr id="2" name="Picture 1">
          <a:extLst>
            <a:ext uri="{FF2B5EF4-FFF2-40B4-BE49-F238E27FC236}">
              <a16:creationId xmlns:a16="http://schemas.microsoft.com/office/drawing/2014/main" id="{923566E2-6789-455C-A5B5-E9DB41BA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683" y="21772"/>
          <a:ext cx="779492" cy="37147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63715A55-9FA7-4697-BEEE-4592048FF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129540</xdr:colOff>
      <xdr:row>0</xdr:row>
      <xdr:rowOff>15240</xdr:rowOff>
    </xdr:from>
    <xdr:ext cx="900383" cy="380607"/>
    <xdr:pic>
      <xdr:nvPicPr>
        <xdr:cNvPr id="2" name="Picture 1">
          <a:extLst>
            <a:ext uri="{FF2B5EF4-FFF2-40B4-BE49-F238E27FC236}">
              <a16:creationId xmlns:a16="http://schemas.microsoft.com/office/drawing/2014/main" id="{88142C62-AE35-497B-BD4E-BFAB2894B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6780" y="15240"/>
          <a:ext cx="900383" cy="3806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2" width="39.5" style="2" customWidth="1"/>
    <col min="3" max="3" width="25.5" style="1" customWidth="1"/>
    <col min="4" max="4" width="10.1640625" style="1" customWidth="1"/>
    <col min="5" max="5" width="12.33203125" style="1" customWidth="1"/>
    <col min="6" max="6" width="10.6640625" style="1" customWidth="1"/>
    <col min="7" max="7" width="11.33203125" style="1" customWidth="1"/>
    <col min="8" max="8" width="10.33203125" style="1" customWidth="1"/>
    <col min="9" max="9" width="11.33203125" style="1" customWidth="1"/>
    <col min="10" max="10" width="14" style="1" customWidth="1"/>
    <col min="11" max="11" width="23.5" style="1" customWidth="1"/>
    <col min="12" max="16384" width="8.83203125" style="1"/>
  </cols>
  <sheetData>
    <row r="1" spans="1:12" s="3" customFormat="1" ht="17.5" customHeight="1" x14ac:dyDescent="0.2">
      <c r="A1" s="35" t="s">
        <v>10</v>
      </c>
      <c r="B1" s="56" t="s">
        <v>73</v>
      </c>
    </row>
    <row r="2" spans="1:12" s="3" customFormat="1" ht="17.5" customHeight="1" x14ac:dyDescent="0.2">
      <c r="A2" s="4" t="s">
        <v>11</v>
      </c>
      <c r="B2" s="56">
        <v>1101</v>
      </c>
    </row>
    <row r="3" spans="1:12" s="3" customFormat="1" ht="17.5" customHeight="1" x14ac:dyDescent="0.2">
      <c r="A3" s="5" t="s">
        <v>12</v>
      </c>
      <c r="B3" s="57">
        <v>44044</v>
      </c>
    </row>
    <row r="4" spans="1:12" s="3" customFormat="1" ht="17.5" customHeight="1" x14ac:dyDescent="0.2">
      <c r="A4" s="5" t="s">
        <v>72</v>
      </c>
      <c r="B4" s="73" t="s">
        <v>82</v>
      </c>
    </row>
    <row r="5" spans="1:12" ht="21" customHeight="1" x14ac:dyDescent="0.15">
      <c r="A5" s="55"/>
      <c r="B5" s="87"/>
      <c r="C5" s="55"/>
      <c r="D5" s="55"/>
      <c r="E5" s="55"/>
      <c r="F5" s="55"/>
      <c r="G5" s="55"/>
      <c r="H5" s="55"/>
      <c r="I5" s="55"/>
      <c r="J5" s="55"/>
      <c r="K5" s="55"/>
    </row>
    <row r="6" spans="1:12" ht="21" customHeight="1" x14ac:dyDescent="0.15">
      <c r="A6" s="55"/>
      <c r="B6" s="87"/>
      <c r="C6" s="55"/>
      <c r="D6" s="55"/>
      <c r="E6" s="55"/>
      <c r="F6" s="55"/>
      <c r="G6" s="55"/>
      <c r="H6" s="55"/>
      <c r="I6" s="55"/>
      <c r="J6" s="55"/>
      <c r="K6" s="55"/>
    </row>
    <row r="7" spans="1:12" s="20" customFormat="1" ht="22.25" customHeight="1" x14ac:dyDescent="0.15">
      <c r="A7" s="10"/>
      <c r="B7" s="11"/>
      <c r="C7" s="23"/>
      <c r="D7" s="88" t="s">
        <v>0</v>
      </c>
      <c r="E7" s="89"/>
      <c r="F7" s="89"/>
      <c r="G7" s="89"/>
      <c r="H7" s="89"/>
      <c r="I7" s="90"/>
      <c r="J7" s="59"/>
      <c r="K7" s="60"/>
    </row>
    <row r="8" spans="1:12" s="20" customFormat="1" ht="22.25" customHeight="1" x14ac:dyDescent="0.2">
      <c r="A8" s="86"/>
      <c r="B8" s="72"/>
      <c r="C8" s="23">
        <v>2</v>
      </c>
      <c r="D8" s="23">
        <v>3</v>
      </c>
      <c r="E8" s="24">
        <v>4</v>
      </c>
      <c r="F8" s="23">
        <v>5</v>
      </c>
      <c r="G8" s="23">
        <v>6</v>
      </c>
      <c r="H8" s="23">
        <v>7</v>
      </c>
      <c r="I8" s="60">
        <v>8</v>
      </c>
      <c r="J8" s="60">
        <v>9</v>
      </c>
      <c r="K8" s="23">
        <v>10</v>
      </c>
    </row>
    <row r="9" spans="1:12" s="20" customFormat="1" ht="22.25" customHeight="1" x14ac:dyDescent="0.2">
      <c r="A9" s="5" t="s">
        <v>1</v>
      </c>
      <c r="B9" s="61" t="s">
        <v>2</v>
      </c>
      <c r="C9" s="23" t="s">
        <v>3</v>
      </c>
      <c r="D9" s="64" t="s">
        <v>170</v>
      </c>
      <c r="E9" s="62" t="s">
        <v>171</v>
      </c>
      <c r="F9" s="64" t="s">
        <v>172</v>
      </c>
      <c r="G9" s="64" t="s">
        <v>173</v>
      </c>
      <c r="H9" s="64" t="s">
        <v>174</v>
      </c>
      <c r="I9" s="64" t="s">
        <v>175</v>
      </c>
      <c r="J9" s="60" t="s">
        <v>4</v>
      </c>
      <c r="K9" s="23" t="s">
        <v>5</v>
      </c>
      <c r="L9" s="19"/>
    </row>
    <row r="10" spans="1:12" s="7" customFormat="1" ht="22.25" customHeight="1" x14ac:dyDescent="0.2">
      <c r="A10" s="13">
        <v>73051100</v>
      </c>
      <c r="B10" s="25" t="s">
        <v>6</v>
      </c>
      <c r="C10" s="12" t="s">
        <v>81</v>
      </c>
      <c r="D10" s="12">
        <v>6000</v>
      </c>
      <c r="E10" s="7">
        <v>400</v>
      </c>
      <c r="F10" s="12"/>
      <c r="G10" s="12"/>
      <c r="H10" s="12"/>
      <c r="J10" s="12">
        <v>50000</v>
      </c>
      <c r="K10" s="12"/>
    </row>
    <row r="11" spans="1:12" s="7" customFormat="1" ht="22.25" customHeight="1" x14ac:dyDescent="0.2">
      <c r="A11" s="13">
        <v>73051200</v>
      </c>
      <c r="B11" s="25" t="s">
        <v>7</v>
      </c>
      <c r="C11" s="12">
        <v>50000</v>
      </c>
      <c r="D11" s="12"/>
      <c r="F11" s="12">
        <v>7000</v>
      </c>
      <c r="G11" s="12">
        <v>650</v>
      </c>
      <c r="H11" s="12"/>
      <c r="J11" s="12"/>
      <c r="K11" s="12">
        <v>550</v>
      </c>
    </row>
    <row r="12" spans="1:12" s="7" customFormat="1" ht="22.25" customHeight="1" x14ac:dyDescent="0.2">
      <c r="A12" s="13">
        <v>73052000</v>
      </c>
      <c r="B12" s="25" t="s">
        <v>8</v>
      </c>
      <c r="C12" s="12"/>
      <c r="D12" s="12">
        <v>6000</v>
      </c>
      <c r="E12" s="7">
        <v>5000</v>
      </c>
      <c r="F12" s="12"/>
      <c r="G12" s="12"/>
      <c r="H12" s="12"/>
      <c r="J12" s="12"/>
      <c r="K12" s="12"/>
    </row>
    <row r="13" spans="1:12" s="7" customFormat="1" ht="22.25" customHeight="1" x14ac:dyDescent="0.2">
      <c r="A13" s="15">
        <v>73053100</v>
      </c>
      <c r="B13" s="26" t="s">
        <v>9</v>
      </c>
      <c r="C13" s="16"/>
      <c r="D13" s="16"/>
      <c r="E13" s="14"/>
      <c r="F13" s="16"/>
      <c r="G13" s="16"/>
      <c r="H13" s="16">
        <v>4800</v>
      </c>
      <c r="I13" s="14">
        <v>5000</v>
      </c>
      <c r="J13" s="16"/>
      <c r="K13" s="16"/>
      <c r="L13" s="17"/>
    </row>
    <row r="14" spans="1:12" s="7" customFormat="1" x14ac:dyDescent="0.2">
      <c r="A14" s="8"/>
      <c r="B14" s="9"/>
    </row>
  </sheetData>
  <mergeCells count="1">
    <mergeCell ref="D7:I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2A34-3BB2-4C69-AA55-85329421256A}">
  <dimension ref="A1:CG13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73</v>
      </c>
    </row>
    <row r="2" spans="1:85" s="3" customFormat="1" ht="17.5" customHeight="1" x14ac:dyDescent="0.2">
      <c r="A2" s="4" t="s">
        <v>11</v>
      </c>
      <c r="B2" s="56">
        <v>1101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85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73051100</v>
      </c>
      <c r="B10" s="83" t="s">
        <v>6</v>
      </c>
      <c r="C10" s="66"/>
      <c r="D10" s="67">
        <v>500</v>
      </c>
      <c r="E10" s="67"/>
      <c r="F10" s="67">
        <v>200</v>
      </c>
      <c r="G10" s="67"/>
      <c r="H10" s="67"/>
      <c r="I10" s="67"/>
      <c r="J10" s="67"/>
      <c r="K10" s="67">
        <v>150</v>
      </c>
      <c r="L10" s="67"/>
      <c r="M10" s="67"/>
      <c r="N10" s="67"/>
      <c r="O10" s="67">
        <v>1000</v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>
        <v>696</v>
      </c>
      <c r="BF10" s="67"/>
      <c r="BG10" s="67"/>
      <c r="BH10" s="67"/>
      <c r="BI10" s="67"/>
      <c r="BJ10" s="67"/>
      <c r="BK10" s="67"/>
      <c r="BL10" s="67"/>
      <c r="BM10" s="67"/>
      <c r="BN10" s="67">
        <v>175</v>
      </c>
      <c r="BO10" s="67"/>
      <c r="BP10" s="67"/>
      <c r="BQ10" s="67">
        <v>400</v>
      </c>
      <c r="BR10" s="67"/>
      <c r="BS10" s="67"/>
      <c r="BT10" s="67"/>
      <c r="BU10" s="67"/>
      <c r="BV10" s="67">
        <v>320</v>
      </c>
      <c r="BW10" s="67"/>
      <c r="BX10" s="67"/>
      <c r="BY10" s="67"/>
      <c r="BZ10" s="67">
        <v>450</v>
      </c>
      <c r="CA10" s="67"/>
      <c r="CB10" s="67">
        <v>1350</v>
      </c>
      <c r="CC10" s="67">
        <v>750</v>
      </c>
      <c r="CD10" s="67">
        <v>9</v>
      </c>
      <c r="CE10" s="67"/>
      <c r="CF10" s="67">
        <f>SUM(C10:CE10,CG10)</f>
        <v>6000</v>
      </c>
      <c r="CG10" s="80"/>
    </row>
    <row r="11" spans="1:85" s="3" customFormat="1" ht="22.25" customHeight="1" x14ac:dyDescent="0.2">
      <c r="A11" s="42">
        <v>73051200</v>
      </c>
      <c r="B11" s="32" t="s">
        <v>7</v>
      </c>
      <c r="C11" s="68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>
        <f t="shared" ref="CF11:CF13" si="0">SUM(C11:CE11,CG11)</f>
        <v>0</v>
      </c>
      <c r="CG11" s="34"/>
    </row>
    <row r="12" spans="1:85" s="3" customFormat="1" ht="22.25" customHeight="1" x14ac:dyDescent="0.2">
      <c r="A12" s="42">
        <v>73052000</v>
      </c>
      <c r="B12" s="32" t="s">
        <v>8</v>
      </c>
      <c r="C12" s="68"/>
      <c r="D12" s="70"/>
      <c r="E12" s="70">
        <v>4000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>
        <v>250</v>
      </c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>
        <v>399</v>
      </c>
      <c r="AN12" s="70"/>
      <c r="AO12" s="70"/>
      <c r="AP12" s="70"/>
      <c r="AQ12" s="70"/>
      <c r="AR12" s="70"/>
      <c r="AS12" s="70">
        <v>275</v>
      </c>
      <c r="AT12" s="70"/>
      <c r="AU12" s="70"/>
      <c r="AV12" s="70"/>
      <c r="AW12" s="70"/>
      <c r="AX12" s="70"/>
      <c r="AY12" s="70"/>
      <c r="AZ12" s="70"/>
      <c r="BA12" s="70"/>
      <c r="BB12" s="70">
        <v>900</v>
      </c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>
        <v>65</v>
      </c>
      <c r="BT12" s="70"/>
      <c r="BU12" s="70"/>
      <c r="BV12" s="70"/>
      <c r="BW12" s="70"/>
      <c r="BX12" s="70"/>
      <c r="BY12" s="70"/>
      <c r="BZ12" s="70"/>
      <c r="CA12" s="70"/>
      <c r="CB12" s="70">
        <v>111</v>
      </c>
      <c r="CC12" s="70"/>
      <c r="CD12" s="70"/>
      <c r="CE12" s="70"/>
      <c r="CF12" s="70">
        <f t="shared" si="0"/>
        <v>6000</v>
      </c>
      <c r="CG12" s="34"/>
    </row>
    <row r="13" spans="1:85" s="3" customFormat="1" ht="22.25" customHeight="1" x14ac:dyDescent="0.2">
      <c r="A13" s="37">
        <v>73053100</v>
      </c>
      <c r="B13" s="29" t="s">
        <v>9</v>
      </c>
      <c r="C13" s="81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>
        <f t="shared" si="0"/>
        <v>0</v>
      </c>
      <c r="CG13" s="53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4DDD-8BB4-4C5C-B8D1-82E767CBBAB1}">
  <dimension ref="A1:CG13"/>
  <sheetViews>
    <sheetView workbookViewId="0">
      <selection activeCell="B1" sqref="B1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73</v>
      </c>
    </row>
    <row r="2" spans="1:85" s="3" customFormat="1" ht="17.5" customHeight="1" x14ac:dyDescent="0.2">
      <c r="A2" s="4" t="s">
        <v>11</v>
      </c>
      <c r="B2" s="56">
        <v>1101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169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70"/>
      <c r="B7" s="71"/>
    </row>
    <row r="8" spans="1:85" s="6" customFormat="1" ht="23" customHeight="1" x14ac:dyDescent="0.2">
      <c r="A8" s="48"/>
      <c r="B8" s="56"/>
      <c r="C8" s="23">
        <v>1001</v>
      </c>
      <c r="D8" s="58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13">
        <v>73051100</v>
      </c>
      <c r="B10" s="25" t="s">
        <v>6</v>
      </c>
      <c r="C10" s="66"/>
      <c r="D10" s="67">
        <v>25</v>
      </c>
      <c r="E10" s="67"/>
      <c r="F10" s="67">
        <v>34</v>
      </c>
      <c r="G10" s="67"/>
      <c r="H10" s="67"/>
      <c r="I10" s="67"/>
      <c r="J10" s="67"/>
      <c r="K10" s="67">
        <v>17</v>
      </c>
      <c r="L10" s="67"/>
      <c r="M10" s="67"/>
      <c r="N10" s="67"/>
      <c r="O10" s="67">
        <v>80</v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>
        <v>70</v>
      </c>
      <c r="BF10" s="67"/>
      <c r="BG10" s="67"/>
      <c r="BH10" s="67"/>
      <c r="BI10" s="67"/>
      <c r="BJ10" s="67"/>
      <c r="BK10" s="67"/>
      <c r="BL10" s="67"/>
      <c r="BM10" s="67"/>
      <c r="BN10" s="67">
        <v>5</v>
      </c>
      <c r="BO10" s="67"/>
      <c r="BP10" s="67"/>
      <c r="BQ10" s="67">
        <v>20</v>
      </c>
      <c r="BR10" s="67"/>
      <c r="BS10" s="67"/>
      <c r="BT10" s="67"/>
      <c r="BU10" s="67"/>
      <c r="BV10" s="67">
        <v>54</v>
      </c>
      <c r="BW10" s="67"/>
      <c r="BX10" s="67"/>
      <c r="BY10" s="67"/>
      <c r="BZ10" s="67">
        <v>8</v>
      </c>
      <c r="CA10" s="67"/>
      <c r="CB10" s="67">
        <v>43</v>
      </c>
      <c r="CC10" s="67">
        <v>8</v>
      </c>
      <c r="CD10" s="67">
        <v>36</v>
      </c>
      <c r="CE10" s="67"/>
      <c r="CF10" s="67">
        <f>SUM(C10:CE10)</f>
        <v>400</v>
      </c>
      <c r="CG10" s="80"/>
    </row>
    <row r="11" spans="1:85" s="3" customFormat="1" ht="22.25" customHeight="1" x14ac:dyDescent="0.2">
      <c r="A11" s="13">
        <v>73051200</v>
      </c>
      <c r="B11" s="25" t="s">
        <v>7</v>
      </c>
      <c r="C11" s="68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>
        <f t="shared" ref="CF11:CF13" si="0">SUM(C11:CE11)</f>
        <v>0</v>
      </c>
      <c r="CG11" s="34"/>
    </row>
    <row r="12" spans="1:85" s="3" customFormat="1" ht="22.25" customHeight="1" x14ac:dyDescent="0.2">
      <c r="A12" s="13">
        <v>73052000</v>
      </c>
      <c r="B12" s="25" t="s">
        <v>8</v>
      </c>
      <c r="C12" s="68"/>
      <c r="D12" s="70"/>
      <c r="E12" s="70">
        <v>3700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>
        <v>50</v>
      </c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>
        <v>15</v>
      </c>
      <c r="AN12" s="70"/>
      <c r="AO12" s="70"/>
      <c r="AP12" s="70"/>
      <c r="AQ12" s="70"/>
      <c r="AR12" s="70"/>
      <c r="AS12" s="70">
        <v>500</v>
      </c>
      <c r="AT12" s="70"/>
      <c r="AU12" s="70"/>
      <c r="AV12" s="70"/>
      <c r="AW12" s="70"/>
      <c r="AX12" s="70"/>
      <c r="AY12" s="70"/>
      <c r="AZ12" s="70"/>
      <c r="BA12" s="70"/>
      <c r="BB12" s="70">
        <v>300</v>
      </c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>
        <v>273</v>
      </c>
      <c r="BT12" s="70"/>
      <c r="BU12" s="70"/>
      <c r="BV12" s="70"/>
      <c r="BW12" s="70"/>
      <c r="BX12" s="70"/>
      <c r="BY12" s="70"/>
      <c r="BZ12" s="70"/>
      <c r="CA12" s="70"/>
      <c r="CB12" s="70">
        <v>162</v>
      </c>
      <c r="CC12" s="70"/>
      <c r="CD12" s="70"/>
      <c r="CE12" s="70"/>
      <c r="CF12" s="70">
        <f>SUM(C12:CE12)</f>
        <v>5000</v>
      </c>
      <c r="CG12" s="34"/>
    </row>
    <row r="13" spans="1:85" s="3" customFormat="1" ht="22.25" customHeight="1" x14ac:dyDescent="0.2">
      <c r="A13" s="15">
        <v>73053100</v>
      </c>
      <c r="B13" s="26" t="s">
        <v>9</v>
      </c>
      <c r="C13" s="81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>
        <f t="shared" si="0"/>
        <v>0</v>
      </c>
      <c r="CG13" s="53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CDDB-F38F-4BEC-AAAF-76F7324EAE78}">
  <dimension ref="A1:L11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2" width="39.5" style="2" customWidth="1"/>
    <col min="3" max="3" width="25.5" style="1" customWidth="1"/>
    <col min="4" max="4" width="10.1640625" style="1" customWidth="1"/>
    <col min="5" max="5" width="12.33203125" style="1" customWidth="1"/>
    <col min="6" max="6" width="10.6640625" style="1" customWidth="1"/>
    <col min="7" max="7" width="11.33203125" style="1" customWidth="1"/>
    <col min="8" max="8" width="10.33203125" style="1" customWidth="1"/>
    <col min="9" max="9" width="11.33203125" style="1" customWidth="1"/>
    <col min="10" max="10" width="14" style="1" customWidth="1"/>
    <col min="11" max="11" width="23.5" style="1" customWidth="1"/>
    <col min="12" max="16384" width="8.83203125" style="1"/>
  </cols>
  <sheetData>
    <row r="1" spans="1:12" s="3" customFormat="1" ht="17.5" customHeight="1" x14ac:dyDescent="0.2">
      <c r="A1" s="35" t="s">
        <v>10</v>
      </c>
      <c r="B1" s="56" t="s">
        <v>74</v>
      </c>
    </row>
    <row r="2" spans="1:12" s="3" customFormat="1" ht="17.5" customHeight="1" x14ac:dyDescent="0.2">
      <c r="A2" s="4" t="s">
        <v>11</v>
      </c>
      <c r="B2" s="56">
        <v>1102</v>
      </c>
    </row>
    <row r="3" spans="1:12" s="3" customFormat="1" ht="17.5" customHeight="1" x14ac:dyDescent="0.2">
      <c r="A3" s="5" t="s">
        <v>12</v>
      </c>
      <c r="B3" s="57">
        <v>44044</v>
      </c>
    </row>
    <row r="4" spans="1:12" s="3" customFormat="1" ht="17.5" customHeight="1" x14ac:dyDescent="0.2">
      <c r="A4" s="5" t="s">
        <v>72</v>
      </c>
      <c r="B4" s="73" t="s">
        <v>82</v>
      </c>
    </row>
    <row r="5" spans="1:12" ht="21" customHeight="1" x14ac:dyDescent="0.15">
      <c r="A5" s="10"/>
      <c r="B5" s="11"/>
      <c r="C5" s="10"/>
      <c r="D5" s="10"/>
      <c r="E5" s="10"/>
      <c r="F5" s="10"/>
      <c r="G5" s="10"/>
      <c r="H5" s="10"/>
      <c r="I5" s="10"/>
      <c r="J5" s="10"/>
      <c r="K5" s="10"/>
    </row>
    <row r="6" spans="1:12" s="20" customFormat="1" ht="22.25" customHeight="1" x14ac:dyDescent="0.15">
      <c r="A6" s="55"/>
      <c r="B6" s="87"/>
      <c r="C6" s="55"/>
      <c r="D6" s="55"/>
      <c r="E6" s="55"/>
      <c r="F6" s="55"/>
      <c r="G6" s="55"/>
      <c r="H6" s="55"/>
      <c r="I6" s="55"/>
      <c r="J6" s="55"/>
      <c r="K6" s="55"/>
      <c r="L6" s="19"/>
    </row>
    <row r="7" spans="1:12" s="20" customFormat="1" ht="22.25" customHeight="1" x14ac:dyDescent="0.15">
      <c r="A7" s="10"/>
      <c r="B7" s="11"/>
      <c r="C7" s="23"/>
      <c r="D7" s="88" t="s">
        <v>0</v>
      </c>
      <c r="E7" s="89"/>
      <c r="F7" s="89"/>
      <c r="G7" s="89"/>
      <c r="H7" s="89"/>
      <c r="I7" s="90"/>
      <c r="J7" s="59"/>
      <c r="K7" s="60"/>
    </row>
    <row r="8" spans="1:12" s="20" customFormat="1" ht="22.25" customHeight="1" x14ac:dyDescent="0.2">
      <c r="A8" s="86"/>
      <c r="B8" s="72"/>
      <c r="C8" s="23">
        <v>2</v>
      </c>
      <c r="D8" s="23">
        <v>3</v>
      </c>
      <c r="E8" s="24">
        <v>4</v>
      </c>
      <c r="F8" s="23">
        <v>5</v>
      </c>
      <c r="G8" s="23">
        <v>6</v>
      </c>
      <c r="H8" s="23">
        <v>7</v>
      </c>
      <c r="I8" s="60">
        <v>8</v>
      </c>
      <c r="J8" s="60">
        <v>9</v>
      </c>
      <c r="K8" s="23">
        <v>10</v>
      </c>
    </row>
    <row r="9" spans="1:12" s="20" customFormat="1" ht="22.25" customHeight="1" x14ac:dyDescent="0.2">
      <c r="A9" s="5" t="s">
        <v>1</v>
      </c>
      <c r="B9" s="61" t="s">
        <v>2</v>
      </c>
      <c r="C9" s="23" t="s">
        <v>3</v>
      </c>
      <c r="D9" s="64" t="s">
        <v>170</v>
      </c>
      <c r="E9" s="62" t="s">
        <v>171</v>
      </c>
      <c r="F9" s="64" t="s">
        <v>172</v>
      </c>
      <c r="G9" s="64" t="s">
        <v>173</v>
      </c>
      <c r="H9" s="64" t="s">
        <v>174</v>
      </c>
      <c r="I9" s="64" t="s">
        <v>175</v>
      </c>
      <c r="J9" s="60" t="s">
        <v>4</v>
      </c>
      <c r="K9" s="23" t="s">
        <v>5</v>
      </c>
      <c r="L9" s="19"/>
    </row>
    <row r="10" spans="1:12" s="3" customFormat="1" ht="24" customHeight="1" x14ac:dyDescent="0.2">
      <c r="A10" s="6">
        <v>72082500</v>
      </c>
      <c r="B10" s="32" t="s">
        <v>17</v>
      </c>
      <c r="C10" s="33">
        <v>6000</v>
      </c>
      <c r="E10" s="33"/>
      <c r="F10" s="3">
        <v>800</v>
      </c>
      <c r="G10" s="33">
        <v>20000</v>
      </c>
      <c r="H10" s="3">
        <v>650</v>
      </c>
      <c r="I10" s="33">
        <v>8000</v>
      </c>
      <c r="J10" s="34"/>
      <c r="K10" s="33"/>
    </row>
    <row r="11" spans="1:12" s="3" customFormat="1" ht="24" customHeight="1" x14ac:dyDescent="0.2">
      <c r="A11" s="36">
        <v>72083700</v>
      </c>
      <c r="B11" s="29" t="s">
        <v>15</v>
      </c>
      <c r="C11" s="52"/>
      <c r="D11" s="54">
        <v>8000</v>
      </c>
      <c r="E11" s="52">
        <v>450</v>
      </c>
      <c r="F11" s="54"/>
      <c r="G11" s="52"/>
      <c r="H11" s="54"/>
      <c r="I11" s="52"/>
      <c r="J11" s="54">
        <v>5000</v>
      </c>
      <c r="K11" s="52">
        <v>450</v>
      </c>
    </row>
  </sheetData>
  <mergeCells count="1">
    <mergeCell ref="D7:I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06E7-979D-40BE-B34D-E3213D4FED40}">
  <dimension ref="A1:CG11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74</v>
      </c>
    </row>
    <row r="2" spans="1:85" s="3" customFormat="1" ht="17.5" customHeight="1" x14ac:dyDescent="0.2">
      <c r="A2" s="4" t="s">
        <v>11</v>
      </c>
      <c r="B2" s="56">
        <v>1102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85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72082500</v>
      </c>
      <c r="B10" s="83" t="s">
        <v>17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>
        <f>SUM(C10:CE10)</f>
        <v>0</v>
      </c>
      <c r="CG10" s="80"/>
    </row>
    <row r="11" spans="1:85" s="3" customFormat="1" ht="22.25" customHeight="1" x14ac:dyDescent="0.2">
      <c r="A11" s="37">
        <v>72083700</v>
      </c>
      <c r="B11" s="29" t="s">
        <v>15</v>
      </c>
      <c r="C11" s="81"/>
      <c r="D11" s="54"/>
      <c r="E11" s="54">
        <v>4500</v>
      </c>
      <c r="F11" s="54"/>
      <c r="G11" s="54"/>
      <c r="H11" s="54"/>
      <c r="I11" s="54"/>
      <c r="J11" s="54">
        <v>260</v>
      </c>
      <c r="K11" s="54"/>
      <c r="L11" s="54"/>
      <c r="M11" s="54">
        <v>245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>
        <v>2995</v>
      </c>
      <c r="CD11" s="54"/>
      <c r="CE11" s="54"/>
      <c r="CF11" s="54">
        <f>SUM(C11:CE11)</f>
        <v>8000</v>
      </c>
      <c r="CG11" s="53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E94A-E72E-4C9D-9328-821CFD4DFED0}">
  <dimension ref="A1:CG11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74</v>
      </c>
    </row>
    <row r="2" spans="1:85" s="3" customFormat="1" ht="17.5" customHeight="1" x14ac:dyDescent="0.2">
      <c r="A2" s="4" t="s">
        <v>11</v>
      </c>
      <c r="B2" s="56">
        <v>1102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169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72082500</v>
      </c>
      <c r="B10" s="83" t="s">
        <v>17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37">
        <v>72083700</v>
      </c>
      <c r="B11" s="29" t="s">
        <v>15</v>
      </c>
      <c r="C11" s="81"/>
      <c r="D11" s="54"/>
      <c r="E11" s="54">
        <v>45</v>
      </c>
      <c r="F11" s="54"/>
      <c r="G11" s="54"/>
      <c r="H11" s="54"/>
      <c r="I11" s="54"/>
      <c r="J11" s="54">
        <v>180</v>
      </c>
      <c r="K11" s="54"/>
      <c r="L11" s="54"/>
      <c r="M11" s="54">
        <v>75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>
        <v>150</v>
      </c>
      <c r="CD11" s="54"/>
      <c r="CE11" s="54"/>
      <c r="CF11" s="54">
        <f>SUM(C11:CE11)</f>
        <v>450</v>
      </c>
      <c r="CG11" s="53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2755-DADC-447B-A36B-456278E635EB}">
  <dimension ref="A1:L18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2" width="39.5" style="2" customWidth="1"/>
    <col min="3" max="3" width="25.5" style="1" customWidth="1"/>
    <col min="4" max="4" width="10.1640625" style="1" customWidth="1"/>
    <col min="5" max="5" width="12.33203125" style="1" customWidth="1"/>
    <col min="6" max="6" width="10.6640625" style="1" customWidth="1"/>
    <col min="7" max="7" width="11.33203125" style="1" customWidth="1"/>
    <col min="8" max="8" width="10.33203125" style="1" customWidth="1"/>
    <col min="9" max="9" width="11.33203125" style="1" customWidth="1"/>
    <col min="10" max="10" width="14" style="1" customWidth="1"/>
    <col min="11" max="11" width="23.5" style="1" customWidth="1"/>
    <col min="12" max="16384" width="8.83203125" style="1"/>
  </cols>
  <sheetData>
    <row r="1" spans="1:12" s="3" customFormat="1" ht="17.5" customHeight="1" x14ac:dyDescent="0.2">
      <c r="A1" s="35" t="s">
        <v>10</v>
      </c>
      <c r="B1" s="56" t="s">
        <v>75</v>
      </c>
    </row>
    <row r="2" spans="1:12" s="3" customFormat="1" ht="17.5" customHeight="1" x14ac:dyDescent="0.2">
      <c r="A2" s="4" t="s">
        <v>11</v>
      </c>
      <c r="B2" s="56">
        <v>1104</v>
      </c>
    </row>
    <row r="3" spans="1:12" s="3" customFormat="1" ht="17.5" customHeight="1" x14ac:dyDescent="0.2">
      <c r="A3" s="5" t="s">
        <v>12</v>
      </c>
      <c r="B3" s="57">
        <v>44044</v>
      </c>
    </row>
    <row r="4" spans="1:12" s="3" customFormat="1" ht="17.5" customHeight="1" x14ac:dyDescent="0.2">
      <c r="A4" s="5" t="s">
        <v>72</v>
      </c>
      <c r="B4" s="73" t="s">
        <v>82</v>
      </c>
    </row>
    <row r="5" spans="1:12" ht="21" customHeight="1" x14ac:dyDescent="0.15">
      <c r="A5" s="10"/>
      <c r="B5" s="11"/>
      <c r="C5" s="10"/>
      <c r="D5" s="10"/>
      <c r="E5" s="10"/>
      <c r="F5" s="10"/>
      <c r="G5" s="10"/>
      <c r="H5" s="10"/>
      <c r="I5" s="10"/>
      <c r="J5" s="10"/>
      <c r="K5" s="10"/>
    </row>
    <row r="6" spans="1:12" s="20" customFormat="1" ht="22.25" customHeight="1" x14ac:dyDescent="0.15">
      <c r="A6" s="55"/>
      <c r="B6" s="87"/>
      <c r="C6" s="55"/>
      <c r="D6" s="55"/>
      <c r="E6" s="55"/>
      <c r="F6" s="55"/>
      <c r="G6" s="55"/>
      <c r="H6" s="55"/>
      <c r="I6" s="55"/>
      <c r="J6" s="55"/>
      <c r="K6" s="55"/>
      <c r="L6" s="19"/>
    </row>
    <row r="7" spans="1:12" s="20" customFormat="1" ht="22.25" customHeight="1" x14ac:dyDescent="0.15">
      <c r="A7" s="10"/>
      <c r="B7" s="11"/>
      <c r="C7" s="23"/>
      <c r="D7" s="88" t="s">
        <v>0</v>
      </c>
      <c r="E7" s="89"/>
      <c r="F7" s="89"/>
      <c r="G7" s="89"/>
      <c r="H7" s="89"/>
      <c r="I7" s="90"/>
      <c r="J7" s="59"/>
      <c r="K7" s="60"/>
    </row>
    <row r="8" spans="1:12" s="20" customFormat="1" ht="22.25" customHeight="1" x14ac:dyDescent="0.2">
      <c r="A8" s="86"/>
      <c r="B8" s="72"/>
      <c r="C8" s="23">
        <v>2</v>
      </c>
      <c r="D8" s="23">
        <v>3</v>
      </c>
      <c r="E8" s="24">
        <v>4</v>
      </c>
      <c r="F8" s="23">
        <v>5</v>
      </c>
      <c r="G8" s="23">
        <v>6</v>
      </c>
      <c r="H8" s="23">
        <v>7</v>
      </c>
      <c r="I8" s="60">
        <v>8</v>
      </c>
      <c r="J8" s="60">
        <v>9</v>
      </c>
      <c r="K8" s="23">
        <v>10</v>
      </c>
    </row>
    <row r="9" spans="1:12" s="20" customFormat="1" ht="22.25" customHeight="1" x14ac:dyDescent="0.2">
      <c r="A9" s="5" t="s">
        <v>1</v>
      </c>
      <c r="B9" s="61" t="s">
        <v>2</v>
      </c>
      <c r="C9" s="23" t="s">
        <v>3</v>
      </c>
      <c r="D9" s="64" t="s">
        <v>170</v>
      </c>
      <c r="E9" s="62" t="s">
        <v>171</v>
      </c>
      <c r="F9" s="64" t="s">
        <v>172</v>
      </c>
      <c r="G9" s="64" t="s">
        <v>173</v>
      </c>
      <c r="H9" s="64" t="s">
        <v>174</v>
      </c>
      <c r="I9" s="64" t="s">
        <v>175</v>
      </c>
      <c r="J9" s="60" t="s">
        <v>4</v>
      </c>
      <c r="K9" s="23" t="s">
        <v>5</v>
      </c>
      <c r="L9" s="19"/>
    </row>
    <row r="10" spans="1:12" s="3" customFormat="1" ht="24" customHeight="1" x14ac:dyDescent="0.2">
      <c r="A10" s="6">
        <v>72091690</v>
      </c>
      <c r="B10" s="32" t="s">
        <v>24</v>
      </c>
      <c r="C10" s="33">
        <v>6000</v>
      </c>
      <c r="E10" s="33"/>
      <c r="G10" s="33"/>
      <c r="I10" s="33"/>
      <c r="J10" s="34"/>
      <c r="K10" s="33"/>
    </row>
    <row r="11" spans="1:12" s="3" customFormat="1" ht="24" customHeight="1" x14ac:dyDescent="0.2">
      <c r="A11" s="6">
        <v>72104900</v>
      </c>
      <c r="B11" s="32" t="s">
        <v>22</v>
      </c>
      <c r="C11" s="33"/>
      <c r="D11" s="3">
        <v>450</v>
      </c>
      <c r="E11" s="33">
        <v>20</v>
      </c>
      <c r="G11" s="33"/>
      <c r="I11" s="33"/>
      <c r="K11" s="33"/>
    </row>
    <row r="12" spans="1:12" ht="24" customHeight="1" x14ac:dyDescent="0.15">
      <c r="A12" s="6">
        <v>72105000</v>
      </c>
      <c r="B12" s="32" t="s">
        <v>70</v>
      </c>
      <c r="C12" s="31"/>
      <c r="E12" s="31"/>
      <c r="F12" s="1">
        <v>6000</v>
      </c>
      <c r="G12" s="31">
        <v>250</v>
      </c>
      <c r="I12" s="31"/>
      <c r="K12" s="31"/>
    </row>
    <row r="13" spans="1:12" ht="24" customHeight="1" x14ac:dyDescent="0.15">
      <c r="A13" s="6">
        <v>72107080</v>
      </c>
      <c r="B13" s="32" t="s">
        <v>69</v>
      </c>
      <c r="C13" s="31"/>
      <c r="E13" s="31"/>
      <c r="G13" s="31"/>
      <c r="H13" s="1">
        <v>400000</v>
      </c>
      <c r="I13" s="31">
        <v>2500</v>
      </c>
      <c r="K13" s="31"/>
    </row>
    <row r="14" spans="1:12" ht="24" customHeight="1" x14ac:dyDescent="0.15">
      <c r="A14" s="6">
        <v>72112920</v>
      </c>
      <c r="B14" s="32" t="s">
        <v>20</v>
      </c>
      <c r="C14" s="31"/>
      <c r="E14" s="31"/>
      <c r="F14" s="1">
        <v>80000</v>
      </c>
      <c r="G14" s="31">
        <v>4560</v>
      </c>
      <c r="I14" s="31"/>
      <c r="K14" s="31"/>
    </row>
    <row r="15" spans="1:12" ht="24" customHeight="1" x14ac:dyDescent="0.15">
      <c r="A15" s="6">
        <v>72124080</v>
      </c>
      <c r="B15" s="32" t="s">
        <v>68</v>
      </c>
      <c r="C15" s="31"/>
      <c r="D15" s="1">
        <v>650</v>
      </c>
      <c r="E15" s="31">
        <v>125</v>
      </c>
      <c r="G15" s="31"/>
      <c r="I15" s="31"/>
      <c r="K15" s="31"/>
    </row>
    <row r="16" spans="1:12" ht="24" customHeight="1" x14ac:dyDescent="0.15">
      <c r="A16" s="6">
        <v>72125020</v>
      </c>
      <c r="B16" s="32" t="s">
        <v>67</v>
      </c>
      <c r="C16" s="31"/>
      <c r="E16" s="31"/>
      <c r="F16" s="1">
        <v>7800</v>
      </c>
      <c r="G16" s="31">
        <v>452</v>
      </c>
      <c r="I16" s="31"/>
      <c r="K16" s="31"/>
    </row>
    <row r="17" spans="1:11" ht="24" customHeight="1" x14ac:dyDescent="0.15">
      <c r="A17" s="6">
        <v>72259200</v>
      </c>
      <c r="B17" s="32" t="s">
        <v>19</v>
      </c>
      <c r="C17" s="31"/>
      <c r="E17" s="31"/>
      <c r="G17" s="31"/>
      <c r="H17" s="1">
        <v>6500</v>
      </c>
      <c r="I17" s="31">
        <v>2504</v>
      </c>
      <c r="K17" s="31"/>
    </row>
    <row r="18" spans="1:11" ht="24" customHeight="1" x14ac:dyDescent="0.15">
      <c r="A18" s="36">
        <v>72269930</v>
      </c>
      <c r="B18" s="29" t="s">
        <v>66</v>
      </c>
      <c r="C18" s="28"/>
      <c r="D18" s="10"/>
      <c r="E18" s="28"/>
      <c r="F18" s="10"/>
      <c r="G18" s="28"/>
      <c r="H18" s="10"/>
      <c r="I18" s="28"/>
      <c r="J18" s="10">
        <v>50800</v>
      </c>
      <c r="K18" s="28">
        <v>6500</v>
      </c>
    </row>
  </sheetData>
  <mergeCells count="1">
    <mergeCell ref="D7:I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6912-EA66-4D41-8C3D-9A4D693EFECF}">
  <dimension ref="A1:CG18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75</v>
      </c>
    </row>
    <row r="2" spans="1:85" s="3" customFormat="1" ht="17.5" customHeight="1" x14ac:dyDescent="0.2">
      <c r="A2" s="4" t="s">
        <v>11</v>
      </c>
      <c r="B2" s="56">
        <v>1104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85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72091690</v>
      </c>
      <c r="B10" s="83" t="s">
        <v>24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>
        <f>SUM(C10:CE10)</f>
        <v>0</v>
      </c>
      <c r="CG10" s="80"/>
    </row>
    <row r="11" spans="1:85" s="3" customFormat="1" ht="22.25" customHeight="1" x14ac:dyDescent="0.2">
      <c r="A11" s="42">
        <v>72104900</v>
      </c>
      <c r="B11" s="32" t="s">
        <v>22</v>
      </c>
      <c r="C11" s="68"/>
      <c r="D11" s="70">
        <v>100</v>
      </c>
      <c r="E11" s="70"/>
      <c r="F11" s="70"/>
      <c r="G11" s="70">
        <v>25</v>
      </c>
      <c r="H11" s="70"/>
      <c r="I11" s="70"/>
      <c r="J11" s="70">
        <v>65</v>
      </c>
      <c r="K11" s="70"/>
      <c r="L11" s="70"/>
      <c r="M11" s="70">
        <v>200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>
        <v>60</v>
      </c>
      <c r="CD11" s="70"/>
      <c r="CE11" s="70"/>
      <c r="CF11" s="70">
        <f t="shared" ref="CF11:CF18" si="0">SUM(C11:CE11)</f>
        <v>450</v>
      </c>
      <c r="CG11" s="34"/>
    </row>
    <row r="12" spans="1:85" s="3" customFormat="1" ht="22.25" customHeight="1" x14ac:dyDescent="0.2">
      <c r="A12" s="42">
        <v>72105000</v>
      </c>
      <c r="B12" s="32" t="s">
        <v>70</v>
      </c>
      <c r="C12" s="68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>
        <f t="shared" si="0"/>
        <v>0</v>
      </c>
      <c r="CG12" s="34"/>
    </row>
    <row r="13" spans="1:85" s="3" customFormat="1" ht="22.25" customHeight="1" x14ac:dyDescent="0.2">
      <c r="A13" s="42">
        <v>72107080</v>
      </c>
      <c r="B13" s="32" t="s">
        <v>69</v>
      </c>
      <c r="C13" s="68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>
        <f t="shared" si="0"/>
        <v>0</v>
      </c>
      <c r="CG13" s="34"/>
    </row>
    <row r="14" spans="1:85" s="3" customFormat="1" ht="22.25" customHeight="1" x14ac:dyDescent="0.2">
      <c r="A14" s="42">
        <v>72112920</v>
      </c>
      <c r="B14" s="32" t="s">
        <v>20</v>
      </c>
      <c r="C14" s="68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>
        <f t="shared" si="0"/>
        <v>0</v>
      </c>
      <c r="CG14" s="34"/>
    </row>
    <row r="15" spans="1:85" s="6" customFormat="1" ht="22.25" customHeight="1" x14ac:dyDescent="0.2">
      <c r="A15" s="42">
        <v>72124080</v>
      </c>
      <c r="B15" s="32" t="s">
        <v>68</v>
      </c>
      <c r="C15" s="18">
        <v>200</v>
      </c>
      <c r="D15" s="84"/>
      <c r="E15" s="84">
        <v>50</v>
      </c>
      <c r="F15" s="84"/>
      <c r="G15" s="84"/>
      <c r="H15" s="84"/>
      <c r="I15" s="84">
        <v>300</v>
      </c>
      <c r="J15" s="84"/>
      <c r="K15" s="84"/>
      <c r="L15" s="84">
        <v>10</v>
      </c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>
        <v>90</v>
      </c>
      <c r="CE15" s="84"/>
      <c r="CF15" s="70">
        <f t="shared" si="0"/>
        <v>650</v>
      </c>
      <c r="CG15" s="43"/>
    </row>
    <row r="16" spans="1:85" s="6" customFormat="1" ht="22.25" customHeight="1" x14ac:dyDescent="0.2">
      <c r="A16" s="42">
        <v>72125020</v>
      </c>
      <c r="B16" s="32" t="s">
        <v>67</v>
      </c>
      <c r="C16" s="18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70">
        <f t="shared" si="0"/>
        <v>0</v>
      </c>
      <c r="CG16" s="43"/>
    </row>
    <row r="17" spans="1:85" s="6" customFormat="1" ht="22.25" customHeight="1" x14ac:dyDescent="0.2">
      <c r="A17" s="42">
        <v>72259200</v>
      </c>
      <c r="B17" s="32" t="s">
        <v>19</v>
      </c>
      <c r="C17" s="18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70">
        <f>SUM(C17:CE17)</f>
        <v>0</v>
      </c>
      <c r="CG17" s="43"/>
    </row>
    <row r="18" spans="1:85" s="6" customFormat="1" ht="22.25" customHeight="1" x14ac:dyDescent="0.2">
      <c r="A18" s="37">
        <v>72269930</v>
      </c>
      <c r="B18" s="29" t="s">
        <v>66</v>
      </c>
      <c r="C18" s="8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54">
        <f t="shared" si="0"/>
        <v>0</v>
      </c>
      <c r="CG18" s="30"/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D3EC-A4EF-4C85-B55D-576588B59FD7}">
  <dimension ref="A1:CG18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75</v>
      </c>
    </row>
    <row r="2" spans="1:85" s="3" customFormat="1" ht="17.5" customHeight="1" x14ac:dyDescent="0.2">
      <c r="A2" s="4" t="s">
        <v>11</v>
      </c>
      <c r="B2" s="56">
        <v>1104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169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72091690</v>
      </c>
      <c r="B10" s="83" t="s">
        <v>24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>
        <f>SUM(C10:CE10)</f>
        <v>0</v>
      </c>
      <c r="CG10" s="80"/>
    </row>
    <row r="11" spans="1:85" s="3" customFormat="1" ht="22.25" customHeight="1" x14ac:dyDescent="0.2">
      <c r="A11" s="42">
        <v>72104900</v>
      </c>
      <c r="B11" s="32" t="s">
        <v>22</v>
      </c>
      <c r="C11" s="68"/>
      <c r="D11" s="70">
        <v>5</v>
      </c>
      <c r="E11" s="70"/>
      <c r="F11" s="70"/>
      <c r="G11" s="70">
        <v>3</v>
      </c>
      <c r="H11" s="70"/>
      <c r="I11" s="70"/>
      <c r="J11" s="70">
        <v>6</v>
      </c>
      <c r="K11" s="70"/>
      <c r="L11" s="70"/>
      <c r="M11" s="70">
        <v>4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>
        <v>2</v>
      </c>
      <c r="CD11" s="70"/>
      <c r="CE11" s="70"/>
      <c r="CF11" s="70">
        <f t="shared" ref="CF11:CF18" si="0">SUM(C11:CE11)</f>
        <v>20</v>
      </c>
      <c r="CG11" s="34"/>
    </row>
    <row r="12" spans="1:85" s="3" customFormat="1" ht="22.25" customHeight="1" x14ac:dyDescent="0.2">
      <c r="A12" s="42">
        <v>72105000</v>
      </c>
      <c r="B12" s="32" t="s">
        <v>70</v>
      </c>
      <c r="C12" s="68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>
        <f t="shared" si="0"/>
        <v>0</v>
      </c>
      <c r="CG12" s="34"/>
    </row>
    <row r="13" spans="1:85" s="3" customFormat="1" ht="22.25" customHeight="1" x14ac:dyDescent="0.2">
      <c r="A13" s="42">
        <v>72107080</v>
      </c>
      <c r="B13" s="32" t="s">
        <v>69</v>
      </c>
      <c r="C13" s="68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>
        <f t="shared" si="0"/>
        <v>0</v>
      </c>
      <c r="CG13" s="34"/>
    </row>
    <row r="14" spans="1:85" s="3" customFormat="1" ht="22.25" customHeight="1" x14ac:dyDescent="0.2">
      <c r="A14" s="42">
        <v>72112920</v>
      </c>
      <c r="B14" s="32" t="s">
        <v>20</v>
      </c>
      <c r="C14" s="68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>
        <f t="shared" si="0"/>
        <v>0</v>
      </c>
      <c r="CG14" s="34"/>
    </row>
    <row r="15" spans="1:85" s="6" customFormat="1" ht="22.25" customHeight="1" x14ac:dyDescent="0.2">
      <c r="A15" s="42">
        <v>72124080</v>
      </c>
      <c r="B15" s="32" t="s">
        <v>68</v>
      </c>
      <c r="C15" s="18">
        <v>50</v>
      </c>
      <c r="D15" s="84"/>
      <c r="E15" s="84">
        <v>15</v>
      </c>
      <c r="F15" s="84"/>
      <c r="G15" s="84"/>
      <c r="H15" s="84"/>
      <c r="I15" s="84">
        <v>20</v>
      </c>
      <c r="J15" s="84"/>
      <c r="K15" s="84"/>
      <c r="L15" s="84">
        <v>15</v>
      </c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>
        <v>25</v>
      </c>
      <c r="CE15" s="84"/>
      <c r="CF15" s="70">
        <f t="shared" si="0"/>
        <v>125</v>
      </c>
      <c r="CG15" s="43"/>
    </row>
    <row r="16" spans="1:85" s="6" customFormat="1" ht="22.25" customHeight="1" x14ac:dyDescent="0.2">
      <c r="A16" s="42">
        <v>72125020</v>
      </c>
      <c r="B16" s="32" t="s">
        <v>67</v>
      </c>
      <c r="C16" s="18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70">
        <f t="shared" si="0"/>
        <v>0</v>
      </c>
      <c r="CG16" s="43"/>
    </row>
    <row r="17" spans="1:85" s="6" customFormat="1" ht="22.25" customHeight="1" x14ac:dyDescent="0.2">
      <c r="A17" s="42">
        <v>72259200</v>
      </c>
      <c r="B17" s="32" t="s">
        <v>19</v>
      </c>
      <c r="C17" s="18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70">
        <f t="shared" si="0"/>
        <v>0</v>
      </c>
      <c r="CG17" s="43"/>
    </row>
    <row r="18" spans="1:85" s="6" customFormat="1" ht="22.25" customHeight="1" x14ac:dyDescent="0.2">
      <c r="A18" s="37">
        <v>72269930</v>
      </c>
      <c r="B18" s="29" t="s">
        <v>66</v>
      </c>
      <c r="C18" s="8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54">
        <f t="shared" si="0"/>
        <v>0</v>
      </c>
      <c r="CG18" s="30"/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EFF5-1EC0-4C12-9937-505C0BA9AFE7}">
  <dimension ref="A1:L21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2" width="39.5" style="2" customWidth="1"/>
    <col min="3" max="3" width="25.5" style="1" customWidth="1"/>
    <col min="4" max="4" width="10.1640625" style="1" customWidth="1"/>
    <col min="5" max="5" width="12.33203125" style="1" customWidth="1"/>
    <col min="6" max="6" width="10.6640625" style="1" customWidth="1"/>
    <col min="7" max="7" width="11.33203125" style="1" customWidth="1"/>
    <col min="8" max="8" width="10.33203125" style="1" customWidth="1"/>
    <col min="9" max="9" width="11.33203125" style="1" customWidth="1"/>
    <col min="10" max="10" width="14" style="1" customWidth="1"/>
    <col min="11" max="11" width="23.5" style="1" customWidth="1"/>
    <col min="12" max="16384" width="8.83203125" style="1"/>
  </cols>
  <sheetData>
    <row r="1" spans="1:12" s="3" customFormat="1" ht="17.5" customHeight="1" x14ac:dyDescent="0.2">
      <c r="A1" s="35" t="s">
        <v>10</v>
      </c>
      <c r="B1" s="56" t="s">
        <v>78</v>
      </c>
    </row>
    <row r="2" spans="1:12" s="3" customFormat="1" ht="17.5" customHeight="1" x14ac:dyDescent="0.2">
      <c r="A2" s="4" t="s">
        <v>11</v>
      </c>
      <c r="B2" s="56">
        <v>1105</v>
      </c>
    </row>
    <row r="3" spans="1:12" s="3" customFormat="1" ht="17.5" customHeight="1" x14ac:dyDescent="0.2">
      <c r="A3" s="5" t="s">
        <v>12</v>
      </c>
      <c r="B3" s="57">
        <v>44044</v>
      </c>
    </row>
    <row r="4" spans="1:12" s="3" customFormat="1" ht="17.5" customHeight="1" x14ac:dyDescent="0.2">
      <c r="A4" s="5" t="s">
        <v>72</v>
      </c>
      <c r="B4" s="73" t="s">
        <v>82</v>
      </c>
    </row>
    <row r="5" spans="1:12" ht="21" customHeight="1" x14ac:dyDescent="0.15">
      <c r="A5" s="10"/>
      <c r="B5" s="11"/>
      <c r="C5" s="10"/>
      <c r="D5" s="10"/>
      <c r="E5" s="10"/>
      <c r="F5" s="10"/>
      <c r="G5" s="10"/>
      <c r="H5" s="10"/>
      <c r="I5" s="10"/>
      <c r="J5" s="10"/>
      <c r="K5" s="10"/>
    </row>
    <row r="6" spans="1:12" s="20" customFormat="1" ht="22.25" customHeight="1" x14ac:dyDescent="0.15">
      <c r="A6" s="55"/>
      <c r="B6" s="87"/>
      <c r="C6" s="55"/>
      <c r="D6" s="55"/>
      <c r="E6" s="55"/>
      <c r="F6" s="55"/>
      <c r="G6" s="55"/>
      <c r="H6" s="55"/>
      <c r="I6" s="55"/>
      <c r="J6" s="55"/>
      <c r="K6" s="55"/>
      <c r="L6" s="19"/>
    </row>
    <row r="7" spans="1:12" s="20" customFormat="1" ht="22.25" customHeight="1" x14ac:dyDescent="0.15">
      <c r="A7" s="10"/>
      <c r="B7" s="11"/>
      <c r="C7" s="23"/>
      <c r="D7" s="88" t="s">
        <v>0</v>
      </c>
      <c r="E7" s="89"/>
      <c r="F7" s="89"/>
      <c r="G7" s="89"/>
      <c r="H7" s="89"/>
      <c r="I7" s="90"/>
      <c r="J7" s="59"/>
      <c r="K7" s="60"/>
    </row>
    <row r="8" spans="1:12" s="20" customFormat="1" ht="22.25" customHeight="1" x14ac:dyDescent="0.2">
      <c r="A8" s="86"/>
      <c r="B8" s="72"/>
      <c r="C8" s="23">
        <v>2</v>
      </c>
      <c r="D8" s="23">
        <v>3</v>
      </c>
      <c r="E8" s="24">
        <v>4</v>
      </c>
      <c r="F8" s="23">
        <v>5</v>
      </c>
      <c r="G8" s="23">
        <v>6</v>
      </c>
      <c r="H8" s="23">
        <v>7</v>
      </c>
      <c r="I8" s="60">
        <v>8</v>
      </c>
      <c r="J8" s="60">
        <v>9</v>
      </c>
      <c r="K8" s="23">
        <v>10</v>
      </c>
    </row>
    <row r="9" spans="1:12" s="20" customFormat="1" ht="22.25" customHeight="1" x14ac:dyDescent="0.2">
      <c r="A9" s="5" t="s">
        <v>1</v>
      </c>
      <c r="B9" s="61" t="s">
        <v>2</v>
      </c>
      <c r="C9" s="23" t="s">
        <v>3</v>
      </c>
      <c r="D9" s="64" t="s">
        <v>170</v>
      </c>
      <c r="E9" s="62" t="s">
        <v>171</v>
      </c>
      <c r="F9" s="64" t="s">
        <v>172</v>
      </c>
      <c r="G9" s="64" t="s">
        <v>173</v>
      </c>
      <c r="H9" s="64" t="s">
        <v>174</v>
      </c>
      <c r="I9" s="64" t="s">
        <v>175</v>
      </c>
      <c r="J9" s="60" t="s">
        <v>4</v>
      </c>
      <c r="K9" s="23" t="s">
        <v>5</v>
      </c>
      <c r="L9" s="19"/>
    </row>
    <row r="10" spans="1:12" s="3" customFormat="1" ht="24" customHeight="1" x14ac:dyDescent="0.2">
      <c r="A10" s="6">
        <v>72081000</v>
      </c>
      <c r="B10" s="32" t="s">
        <v>27</v>
      </c>
      <c r="C10" s="33"/>
      <c r="D10" s="3">
        <v>1250</v>
      </c>
      <c r="E10" s="33">
        <v>6000</v>
      </c>
      <c r="G10" s="33"/>
      <c r="I10" s="33"/>
      <c r="J10" s="34"/>
      <c r="K10" s="33"/>
    </row>
    <row r="11" spans="1:12" s="3" customFormat="1" ht="24" customHeight="1" x14ac:dyDescent="0.2">
      <c r="A11" s="6">
        <v>72082600</v>
      </c>
      <c r="B11" s="32" t="s">
        <v>16</v>
      </c>
      <c r="C11" s="33"/>
      <c r="E11" s="33"/>
      <c r="F11" s="3">
        <v>4587</v>
      </c>
      <c r="G11" s="33">
        <v>6589</v>
      </c>
      <c r="I11" s="33"/>
      <c r="J11" s="34"/>
      <c r="K11" s="33"/>
    </row>
    <row r="12" spans="1:12" s="3" customFormat="1" ht="24" customHeight="1" x14ac:dyDescent="0.2">
      <c r="A12" s="6">
        <v>72083800</v>
      </c>
      <c r="B12" s="32" t="s">
        <v>14</v>
      </c>
      <c r="C12" s="33"/>
      <c r="E12" s="33"/>
      <c r="F12" s="3">
        <v>6870</v>
      </c>
      <c r="G12" s="33">
        <v>687</v>
      </c>
      <c r="I12" s="33"/>
      <c r="K12" s="33">
        <v>102584</v>
      </c>
    </row>
    <row r="13" spans="1:12" s="3" customFormat="1" ht="24" customHeight="1" x14ac:dyDescent="0.2">
      <c r="A13" s="6">
        <v>72083890</v>
      </c>
      <c r="B13" s="32" t="s">
        <v>26</v>
      </c>
      <c r="C13" s="33"/>
      <c r="D13" s="3">
        <v>45000</v>
      </c>
      <c r="E13" s="33">
        <v>7580</v>
      </c>
      <c r="G13" s="33"/>
      <c r="I13" s="33"/>
      <c r="K13" s="33"/>
    </row>
    <row r="14" spans="1:12" ht="24" customHeight="1" x14ac:dyDescent="0.15">
      <c r="A14" s="6">
        <v>72083900</v>
      </c>
      <c r="B14" s="32" t="s">
        <v>13</v>
      </c>
      <c r="C14" s="31"/>
      <c r="E14" s="31"/>
      <c r="G14" s="31"/>
      <c r="H14" s="1">
        <v>65008</v>
      </c>
      <c r="I14" s="31"/>
      <c r="J14" s="1">
        <v>9508</v>
      </c>
      <c r="K14" s="31"/>
    </row>
    <row r="15" spans="1:12" ht="24" customHeight="1" x14ac:dyDescent="0.15">
      <c r="A15" s="6">
        <v>72091690</v>
      </c>
      <c r="B15" s="32" t="s">
        <v>24</v>
      </c>
      <c r="C15" s="31">
        <v>6508880</v>
      </c>
      <c r="E15" s="31"/>
      <c r="G15" s="31"/>
      <c r="I15" s="31"/>
      <c r="K15" s="31"/>
    </row>
    <row r="16" spans="1:12" ht="24" customHeight="1" x14ac:dyDescent="0.15">
      <c r="A16" s="6">
        <v>72092690</v>
      </c>
      <c r="B16" s="32" t="s">
        <v>23</v>
      </c>
      <c r="C16" s="31"/>
      <c r="E16" s="31"/>
      <c r="G16" s="31"/>
      <c r="I16" s="31"/>
      <c r="J16" s="1">
        <v>6580</v>
      </c>
      <c r="K16" s="31">
        <v>8705</v>
      </c>
    </row>
    <row r="17" spans="1:11" ht="24" customHeight="1" x14ac:dyDescent="0.15">
      <c r="A17" s="6">
        <v>72104900</v>
      </c>
      <c r="B17" s="32" t="s">
        <v>22</v>
      </c>
      <c r="C17" s="31"/>
      <c r="D17" s="1">
        <v>65870</v>
      </c>
      <c r="E17" s="31">
        <v>5980</v>
      </c>
      <c r="G17" s="31"/>
      <c r="I17" s="31"/>
      <c r="K17" s="31"/>
    </row>
    <row r="18" spans="1:11" ht="24" customHeight="1" x14ac:dyDescent="0.15">
      <c r="A18" s="6">
        <v>72104910</v>
      </c>
      <c r="B18" s="32" t="s">
        <v>21</v>
      </c>
      <c r="C18" s="31"/>
      <c r="E18" s="31"/>
      <c r="F18" s="1">
        <v>4671</v>
      </c>
      <c r="G18" s="31">
        <v>5820</v>
      </c>
      <c r="I18" s="31"/>
      <c r="K18" s="31">
        <v>648004</v>
      </c>
    </row>
    <row r="19" spans="1:11" ht="24" customHeight="1" x14ac:dyDescent="0.15">
      <c r="A19" s="6">
        <v>72112920</v>
      </c>
      <c r="B19" s="32" t="s">
        <v>20</v>
      </c>
      <c r="C19" s="31">
        <v>2507</v>
      </c>
      <c r="E19" s="31"/>
      <c r="F19" s="1">
        <v>45780</v>
      </c>
      <c r="G19" s="31">
        <v>258</v>
      </c>
      <c r="I19" s="31"/>
      <c r="K19" s="31"/>
    </row>
    <row r="20" spans="1:11" ht="24" customHeight="1" x14ac:dyDescent="0.15">
      <c r="A20" s="6">
        <v>72259200</v>
      </c>
      <c r="B20" s="32" t="s">
        <v>19</v>
      </c>
      <c r="C20" s="31"/>
      <c r="E20" s="31"/>
      <c r="G20" s="31"/>
      <c r="H20" s="1">
        <v>45287</v>
      </c>
      <c r="I20" s="31">
        <v>22548</v>
      </c>
      <c r="K20" s="31"/>
    </row>
    <row r="21" spans="1:11" ht="24" customHeight="1" x14ac:dyDescent="0.15">
      <c r="A21" s="36">
        <v>72259930</v>
      </c>
      <c r="B21" s="29" t="s">
        <v>18</v>
      </c>
      <c r="C21" s="28"/>
      <c r="D21" s="10">
        <v>3258</v>
      </c>
      <c r="E21" s="28">
        <v>2547</v>
      </c>
      <c r="F21" s="10"/>
      <c r="G21" s="28"/>
      <c r="H21" s="10"/>
      <c r="I21" s="28"/>
      <c r="J21" s="10"/>
      <c r="K21" s="28"/>
    </row>
  </sheetData>
  <mergeCells count="1">
    <mergeCell ref="D7:I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67A7-276D-493E-9227-45A59822A135}">
  <dimension ref="A1:CG21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78</v>
      </c>
    </row>
    <row r="2" spans="1:85" s="3" customFormat="1" ht="17.5" customHeight="1" x14ac:dyDescent="0.2">
      <c r="A2" s="4" t="s">
        <v>11</v>
      </c>
      <c r="B2" s="56">
        <v>1105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85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72081000</v>
      </c>
      <c r="B10" s="83" t="s">
        <v>27</v>
      </c>
      <c r="C10" s="66"/>
      <c r="D10" s="67"/>
      <c r="E10" s="67">
        <v>1250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42">
        <v>72082600</v>
      </c>
      <c r="B11" s="32" t="s">
        <v>16</v>
      </c>
      <c r="C11" s="68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34"/>
    </row>
    <row r="12" spans="1:85" s="3" customFormat="1" ht="22.25" customHeight="1" x14ac:dyDescent="0.2">
      <c r="A12" s="42">
        <v>72083800</v>
      </c>
      <c r="B12" s="32" t="s">
        <v>14</v>
      </c>
      <c r="C12" s="68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34"/>
    </row>
    <row r="13" spans="1:85" s="3" customFormat="1" ht="22.25" customHeight="1" x14ac:dyDescent="0.2">
      <c r="A13" s="42">
        <v>72083890</v>
      </c>
      <c r="B13" s="32" t="s">
        <v>26</v>
      </c>
      <c r="C13" s="68"/>
      <c r="D13" s="70"/>
      <c r="E13" s="70"/>
      <c r="F13" s="70"/>
      <c r="G13" s="70"/>
      <c r="H13" s="70"/>
      <c r="I13" s="70">
        <v>45000</v>
      </c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34"/>
    </row>
    <row r="14" spans="1:85" s="3" customFormat="1" ht="22.25" customHeight="1" x14ac:dyDescent="0.2">
      <c r="A14" s="42">
        <v>72083900</v>
      </c>
      <c r="B14" s="32" t="s">
        <v>13</v>
      </c>
      <c r="C14" s="68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34"/>
    </row>
    <row r="15" spans="1:85" s="6" customFormat="1" ht="22.25" customHeight="1" x14ac:dyDescent="0.2">
      <c r="A15" s="42">
        <v>72091690</v>
      </c>
      <c r="B15" s="32" t="s">
        <v>24</v>
      </c>
      <c r="C15" s="18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43"/>
    </row>
    <row r="16" spans="1:85" s="6" customFormat="1" ht="22.25" customHeight="1" x14ac:dyDescent="0.2">
      <c r="A16" s="42">
        <v>72092690</v>
      </c>
      <c r="B16" s="32" t="s">
        <v>23</v>
      </c>
      <c r="C16" s="18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43"/>
    </row>
    <row r="17" spans="1:85" s="6" customFormat="1" ht="22.25" customHeight="1" x14ac:dyDescent="0.2">
      <c r="A17" s="42">
        <v>72104900</v>
      </c>
      <c r="B17" s="32" t="s">
        <v>22</v>
      </c>
      <c r="C17" s="18"/>
      <c r="D17" s="84"/>
      <c r="E17" s="84"/>
      <c r="F17" s="84"/>
      <c r="G17" s="84"/>
      <c r="H17" s="84"/>
      <c r="I17" s="84"/>
      <c r="J17" s="84"/>
      <c r="K17" s="84"/>
      <c r="L17" s="84">
        <v>65870</v>
      </c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43"/>
    </row>
    <row r="18" spans="1:85" s="6" customFormat="1" ht="22.25" customHeight="1" x14ac:dyDescent="0.2">
      <c r="A18" s="42">
        <v>72104910</v>
      </c>
      <c r="B18" s="32" t="s">
        <v>21</v>
      </c>
      <c r="C18" s="18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43"/>
    </row>
    <row r="19" spans="1:85" s="6" customFormat="1" ht="22.25" customHeight="1" x14ac:dyDescent="0.2">
      <c r="A19" s="42">
        <v>72112920</v>
      </c>
      <c r="B19" s="32" t="s">
        <v>20</v>
      </c>
      <c r="C19" s="18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43"/>
    </row>
    <row r="20" spans="1:85" s="6" customFormat="1" ht="22.25" customHeight="1" x14ac:dyDescent="0.2">
      <c r="A20" s="42">
        <v>72259200</v>
      </c>
      <c r="B20" s="32" t="s">
        <v>19</v>
      </c>
      <c r="C20" s="18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43"/>
    </row>
    <row r="21" spans="1:85" s="6" customFormat="1" ht="22.25" customHeight="1" x14ac:dyDescent="0.2">
      <c r="A21" s="37">
        <v>72259930</v>
      </c>
      <c r="B21" s="29" t="s">
        <v>18</v>
      </c>
      <c r="C21" s="85">
        <v>3258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0"/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E2C6-44EC-4EE9-8AC0-C27F5F819B9F}">
  <dimension ref="A1:CG21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78</v>
      </c>
    </row>
    <row r="2" spans="1:85" s="3" customFormat="1" ht="17.5" customHeight="1" x14ac:dyDescent="0.2">
      <c r="A2" s="4" t="s">
        <v>11</v>
      </c>
      <c r="B2" s="56">
        <v>1105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169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72081000</v>
      </c>
      <c r="B10" s="83" t="s">
        <v>27</v>
      </c>
      <c r="C10" s="66"/>
      <c r="D10" s="67"/>
      <c r="E10" s="67">
        <v>6000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42">
        <v>72082600</v>
      </c>
      <c r="B11" s="32" t="s">
        <v>16</v>
      </c>
      <c r="C11" s="68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34"/>
    </row>
    <row r="12" spans="1:85" s="3" customFormat="1" ht="22.25" customHeight="1" x14ac:dyDescent="0.2">
      <c r="A12" s="42">
        <v>72083800</v>
      </c>
      <c r="B12" s="32" t="s">
        <v>14</v>
      </c>
      <c r="C12" s="68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34"/>
    </row>
    <row r="13" spans="1:85" s="3" customFormat="1" ht="22.25" customHeight="1" x14ac:dyDescent="0.2">
      <c r="A13" s="42">
        <v>72083890</v>
      </c>
      <c r="B13" s="32" t="s">
        <v>26</v>
      </c>
      <c r="C13" s="68"/>
      <c r="D13" s="70"/>
      <c r="E13" s="70"/>
      <c r="F13" s="70"/>
      <c r="G13" s="70"/>
      <c r="H13" s="70"/>
      <c r="I13" s="70">
        <v>7580</v>
      </c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34"/>
    </row>
    <row r="14" spans="1:85" s="3" customFormat="1" ht="22.25" customHeight="1" x14ac:dyDescent="0.2">
      <c r="A14" s="42">
        <v>72083900</v>
      </c>
      <c r="B14" s="32" t="s">
        <v>13</v>
      </c>
      <c r="C14" s="68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34"/>
    </row>
    <row r="15" spans="1:85" s="6" customFormat="1" ht="22.25" customHeight="1" x14ac:dyDescent="0.2">
      <c r="A15" s="42">
        <v>72091690</v>
      </c>
      <c r="B15" s="32" t="s">
        <v>24</v>
      </c>
      <c r="C15" s="18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43"/>
    </row>
    <row r="16" spans="1:85" s="6" customFormat="1" ht="22.25" customHeight="1" x14ac:dyDescent="0.2">
      <c r="A16" s="42">
        <v>72092690</v>
      </c>
      <c r="B16" s="32" t="s">
        <v>23</v>
      </c>
      <c r="C16" s="18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43"/>
    </row>
    <row r="17" spans="1:85" s="6" customFormat="1" ht="22.25" customHeight="1" x14ac:dyDescent="0.2">
      <c r="A17" s="42">
        <v>72104900</v>
      </c>
      <c r="B17" s="32" t="s">
        <v>22</v>
      </c>
      <c r="C17" s="18"/>
      <c r="D17" s="84"/>
      <c r="E17" s="84"/>
      <c r="F17" s="84"/>
      <c r="G17" s="84"/>
      <c r="H17" s="84"/>
      <c r="I17" s="84"/>
      <c r="J17" s="84"/>
      <c r="K17" s="84"/>
      <c r="L17" s="84">
        <v>5980</v>
      </c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43"/>
    </row>
    <row r="18" spans="1:85" s="6" customFormat="1" ht="22.25" customHeight="1" x14ac:dyDescent="0.2">
      <c r="A18" s="42">
        <v>72104910</v>
      </c>
      <c r="B18" s="32" t="s">
        <v>21</v>
      </c>
      <c r="C18" s="18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43"/>
    </row>
    <row r="19" spans="1:85" s="6" customFormat="1" ht="22.25" customHeight="1" x14ac:dyDescent="0.2">
      <c r="A19" s="42">
        <v>72112920</v>
      </c>
      <c r="B19" s="32" t="s">
        <v>20</v>
      </c>
      <c r="C19" s="18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43"/>
    </row>
    <row r="20" spans="1:85" s="6" customFormat="1" ht="22.25" customHeight="1" x14ac:dyDescent="0.2">
      <c r="A20" s="42">
        <v>72259200</v>
      </c>
      <c r="B20" s="32" t="s">
        <v>19</v>
      </c>
      <c r="C20" s="18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43"/>
    </row>
    <row r="21" spans="1:85" s="6" customFormat="1" ht="22.25" customHeight="1" x14ac:dyDescent="0.2">
      <c r="A21" s="37">
        <v>72259930</v>
      </c>
      <c r="B21" s="29" t="s">
        <v>18</v>
      </c>
      <c r="C21" s="85">
        <v>2547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0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62D1-CF14-48E9-9E82-9891D7537FD7}">
  <dimension ref="A1:L20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2" width="39.5" style="2" customWidth="1"/>
    <col min="3" max="3" width="25.5" style="1" customWidth="1"/>
    <col min="4" max="4" width="10.1640625" style="1" customWidth="1"/>
    <col min="5" max="5" width="12.33203125" style="1" customWidth="1"/>
    <col min="6" max="6" width="10.6640625" style="1" customWidth="1"/>
    <col min="7" max="7" width="11.33203125" style="1" customWidth="1"/>
    <col min="8" max="8" width="10.33203125" style="1" customWidth="1"/>
    <col min="9" max="9" width="11.33203125" style="1" customWidth="1"/>
    <col min="10" max="10" width="14" style="1" customWidth="1"/>
    <col min="11" max="11" width="23.5" style="1" customWidth="1"/>
    <col min="12" max="16384" width="8.83203125" style="1"/>
  </cols>
  <sheetData>
    <row r="1" spans="1:12" s="3" customFormat="1" ht="17.5" customHeight="1" x14ac:dyDescent="0.2">
      <c r="A1" s="35" t="s">
        <v>10</v>
      </c>
      <c r="B1" s="56" t="s">
        <v>76</v>
      </c>
    </row>
    <row r="2" spans="1:12" s="3" customFormat="1" ht="17.5" customHeight="1" x14ac:dyDescent="0.2">
      <c r="A2" s="4" t="s">
        <v>11</v>
      </c>
      <c r="B2" s="56">
        <v>1106</v>
      </c>
    </row>
    <row r="3" spans="1:12" s="3" customFormat="1" ht="17.5" customHeight="1" x14ac:dyDescent="0.2">
      <c r="A3" s="5" t="s">
        <v>12</v>
      </c>
      <c r="B3" s="57">
        <v>44044</v>
      </c>
    </row>
    <row r="4" spans="1:12" s="3" customFormat="1" ht="17.5" customHeight="1" x14ac:dyDescent="0.2">
      <c r="A4" s="5" t="s">
        <v>72</v>
      </c>
      <c r="B4" s="73" t="s">
        <v>82</v>
      </c>
    </row>
    <row r="5" spans="1:12" ht="21" customHeight="1" x14ac:dyDescent="0.15">
      <c r="A5" s="10"/>
      <c r="B5" s="11"/>
      <c r="C5" s="10"/>
      <c r="D5" s="10"/>
      <c r="E5" s="10"/>
      <c r="F5" s="10"/>
      <c r="G5" s="10"/>
      <c r="H5" s="10"/>
      <c r="I5" s="10"/>
      <c r="J5" s="10"/>
      <c r="K5" s="10"/>
    </row>
    <row r="6" spans="1:12" s="20" customFormat="1" ht="22.25" customHeight="1" x14ac:dyDescent="0.15">
      <c r="A6" s="55"/>
      <c r="B6" s="87"/>
      <c r="C6" s="55"/>
      <c r="D6" s="55"/>
      <c r="E6" s="55"/>
      <c r="F6" s="55"/>
      <c r="G6" s="55"/>
      <c r="H6" s="55"/>
      <c r="I6" s="55"/>
      <c r="J6" s="55"/>
      <c r="K6" s="55"/>
      <c r="L6" s="19"/>
    </row>
    <row r="7" spans="1:12" s="20" customFormat="1" ht="22.25" customHeight="1" x14ac:dyDescent="0.15">
      <c r="A7" s="10"/>
      <c r="B7" s="11"/>
      <c r="C7" s="23"/>
      <c r="D7" s="88" t="s">
        <v>0</v>
      </c>
      <c r="E7" s="89"/>
      <c r="F7" s="89"/>
      <c r="G7" s="89"/>
      <c r="H7" s="89"/>
      <c r="I7" s="90"/>
      <c r="J7" s="59"/>
      <c r="K7" s="60"/>
    </row>
    <row r="8" spans="1:12" s="20" customFormat="1" ht="22.25" customHeight="1" x14ac:dyDescent="0.2">
      <c r="A8" s="86"/>
      <c r="B8" s="72"/>
      <c r="C8" s="23">
        <v>2</v>
      </c>
      <c r="D8" s="23">
        <v>3</v>
      </c>
      <c r="E8" s="24">
        <v>4</v>
      </c>
      <c r="F8" s="23">
        <v>5</v>
      </c>
      <c r="G8" s="23">
        <v>6</v>
      </c>
      <c r="H8" s="23">
        <v>7</v>
      </c>
      <c r="I8" s="60">
        <v>8</v>
      </c>
      <c r="J8" s="60">
        <v>9</v>
      </c>
      <c r="K8" s="23">
        <v>10</v>
      </c>
    </row>
    <row r="9" spans="1:12" s="20" customFormat="1" ht="22.25" customHeight="1" x14ac:dyDescent="0.2">
      <c r="A9" s="5" t="s">
        <v>1</v>
      </c>
      <c r="B9" s="61" t="s">
        <v>2</v>
      </c>
      <c r="C9" s="23" t="s">
        <v>3</v>
      </c>
      <c r="D9" s="64" t="s">
        <v>170</v>
      </c>
      <c r="E9" s="62" t="s">
        <v>171</v>
      </c>
      <c r="F9" s="64" t="s">
        <v>172</v>
      </c>
      <c r="G9" s="64" t="s">
        <v>173</v>
      </c>
      <c r="H9" s="64" t="s">
        <v>174</v>
      </c>
      <c r="I9" s="64" t="s">
        <v>175</v>
      </c>
      <c r="J9" s="60" t="s">
        <v>4</v>
      </c>
      <c r="K9" s="23" t="s">
        <v>5</v>
      </c>
      <c r="L9" s="19"/>
    </row>
    <row r="10" spans="1:12" s="3" customFormat="1" ht="24" customHeight="1" x14ac:dyDescent="0.2">
      <c r="A10" s="6">
        <v>72081000</v>
      </c>
      <c r="B10" s="32" t="s">
        <v>27</v>
      </c>
      <c r="C10" s="33">
        <v>85000</v>
      </c>
      <c r="E10" s="33"/>
      <c r="G10" s="33"/>
      <c r="I10" s="33"/>
      <c r="J10" s="34"/>
      <c r="K10" s="33"/>
    </row>
    <row r="11" spans="1:12" s="3" customFormat="1" ht="24" customHeight="1" x14ac:dyDescent="0.2">
      <c r="A11" s="6">
        <v>72082600</v>
      </c>
      <c r="B11" s="32" t="s">
        <v>16</v>
      </c>
      <c r="C11" s="33"/>
      <c r="D11" s="3">
        <v>6000</v>
      </c>
      <c r="E11" s="33">
        <v>450</v>
      </c>
      <c r="G11" s="33"/>
      <c r="I11" s="33"/>
      <c r="J11" s="34"/>
      <c r="K11" s="33"/>
    </row>
    <row r="12" spans="1:12" s="3" customFormat="1" ht="24" customHeight="1" x14ac:dyDescent="0.2">
      <c r="A12" s="6">
        <v>72083800</v>
      </c>
      <c r="B12" s="32" t="s">
        <v>14</v>
      </c>
      <c r="C12" s="33"/>
      <c r="E12" s="33"/>
      <c r="F12" s="3">
        <v>25804</v>
      </c>
      <c r="G12" s="33">
        <v>6504</v>
      </c>
      <c r="I12" s="33"/>
      <c r="K12" s="33"/>
    </row>
    <row r="13" spans="1:12" ht="24" customHeight="1" x14ac:dyDescent="0.15">
      <c r="A13" s="6">
        <v>72083900</v>
      </c>
      <c r="B13" s="32" t="s">
        <v>13</v>
      </c>
      <c r="C13" s="31"/>
      <c r="E13" s="31"/>
      <c r="G13" s="31"/>
      <c r="H13" s="1">
        <v>48250</v>
      </c>
      <c r="I13" s="31">
        <v>6500</v>
      </c>
      <c r="K13" s="31"/>
    </row>
    <row r="14" spans="1:12" ht="24" customHeight="1" x14ac:dyDescent="0.15">
      <c r="A14" s="6">
        <v>72083990</v>
      </c>
      <c r="B14" s="32" t="s">
        <v>25</v>
      </c>
      <c r="C14" s="31"/>
      <c r="D14" s="31">
        <v>7806</v>
      </c>
      <c r="E14" s="31">
        <v>528</v>
      </c>
      <c r="G14" s="31"/>
      <c r="I14" s="31"/>
      <c r="K14" s="31"/>
    </row>
    <row r="15" spans="1:12" ht="24" customHeight="1" x14ac:dyDescent="0.15">
      <c r="A15" s="6">
        <v>72091690</v>
      </c>
      <c r="B15" s="32" t="s">
        <v>24</v>
      </c>
      <c r="C15" s="31"/>
      <c r="D15" s="31">
        <v>25005</v>
      </c>
      <c r="E15" s="31">
        <v>6580</v>
      </c>
      <c r="G15" s="31"/>
      <c r="I15" s="31"/>
      <c r="K15" s="31"/>
    </row>
    <row r="16" spans="1:12" ht="24" customHeight="1" x14ac:dyDescent="0.15">
      <c r="A16" s="6">
        <v>72092500</v>
      </c>
      <c r="B16" s="32" t="s">
        <v>65</v>
      </c>
      <c r="C16" s="31"/>
      <c r="E16" s="31"/>
      <c r="F16" s="1">
        <v>65000</v>
      </c>
      <c r="G16" s="31"/>
      <c r="I16" s="31"/>
      <c r="K16" s="31"/>
    </row>
    <row r="17" spans="1:11" ht="24" customHeight="1" x14ac:dyDescent="0.15">
      <c r="A17" s="6">
        <v>72092690</v>
      </c>
      <c r="B17" s="32" t="s">
        <v>23</v>
      </c>
      <c r="C17" s="31"/>
      <c r="E17" s="31"/>
      <c r="F17" s="1">
        <v>87000</v>
      </c>
      <c r="G17" s="31"/>
      <c r="I17" s="31"/>
      <c r="K17" s="31"/>
    </row>
    <row r="18" spans="1:11" ht="24" customHeight="1" x14ac:dyDescent="0.15">
      <c r="A18" s="6">
        <v>72104900</v>
      </c>
      <c r="B18" s="32" t="s">
        <v>22</v>
      </c>
      <c r="C18" s="31"/>
      <c r="E18" s="31"/>
      <c r="G18" s="31"/>
      <c r="H18" s="1">
        <v>4500</v>
      </c>
      <c r="I18" s="31">
        <v>658</v>
      </c>
      <c r="K18" s="31"/>
    </row>
    <row r="19" spans="1:11" ht="24" customHeight="1" x14ac:dyDescent="0.15">
      <c r="A19" s="6">
        <v>72104910</v>
      </c>
      <c r="B19" s="32" t="s">
        <v>21</v>
      </c>
      <c r="C19" s="31"/>
      <c r="E19" s="31"/>
      <c r="G19" s="31"/>
      <c r="H19" s="1">
        <v>69000</v>
      </c>
      <c r="I19" s="31">
        <v>7500</v>
      </c>
      <c r="K19" s="31"/>
    </row>
    <row r="20" spans="1:11" ht="24" customHeight="1" x14ac:dyDescent="0.15">
      <c r="A20" s="36">
        <v>72112920</v>
      </c>
      <c r="B20" s="29" t="s">
        <v>20</v>
      </c>
      <c r="C20" s="28"/>
      <c r="D20" s="10"/>
      <c r="E20" s="28"/>
      <c r="F20" s="10"/>
      <c r="G20" s="28"/>
      <c r="H20" s="10"/>
      <c r="I20" s="28"/>
      <c r="J20" s="10">
        <v>48000</v>
      </c>
      <c r="K20" s="28">
        <v>250008</v>
      </c>
    </row>
  </sheetData>
  <mergeCells count="1">
    <mergeCell ref="D7:I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7C36-D9A3-4D8C-A5DA-C09A92CBF61D}">
  <dimension ref="A1:L41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3" width="39.5" style="2" customWidth="1"/>
    <col min="4" max="4" width="25.5" style="1" customWidth="1"/>
    <col min="5" max="5" width="14.5" style="1" customWidth="1"/>
    <col min="6" max="6" width="12.33203125" style="1" customWidth="1"/>
    <col min="7" max="7" width="10.6640625" style="1" customWidth="1"/>
    <col min="8" max="8" width="11.33203125" style="1" customWidth="1"/>
    <col min="9" max="9" width="10.33203125" style="1" customWidth="1"/>
    <col min="10" max="10" width="11.33203125" style="1" customWidth="1"/>
    <col min="11" max="11" width="14" style="1" customWidth="1"/>
    <col min="12" max="12" width="23.5" style="1" customWidth="1"/>
    <col min="13" max="16384" width="8.83203125" style="1"/>
  </cols>
  <sheetData>
    <row r="1" spans="1:12" ht="19.25" customHeight="1" x14ac:dyDescent="0.15">
      <c r="A1" s="5" t="s">
        <v>10</v>
      </c>
      <c r="B1" s="56" t="s">
        <v>76</v>
      </c>
      <c r="L1" s="55"/>
    </row>
    <row r="2" spans="1:12" ht="19.25" customHeight="1" x14ac:dyDescent="0.15">
      <c r="A2" s="4" t="s">
        <v>11</v>
      </c>
      <c r="B2" s="56">
        <v>1106</v>
      </c>
      <c r="L2" s="55"/>
    </row>
    <row r="3" spans="1:12" ht="19.25" customHeight="1" x14ac:dyDescent="0.15">
      <c r="A3" s="5" t="s">
        <v>12</v>
      </c>
      <c r="B3" s="57">
        <v>44044</v>
      </c>
      <c r="L3" s="55"/>
    </row>
    <row r="4" spans="1:12" ht="19.25" customHeight="1" x14ac:dyDescent="0.15">
      <c r="A4" s="5" t="s">
        <v>71</v>
      </c>
      <c r="B4" s="73" t="s">
        <v>83</v>
      </c>
      <c r="L4" s="55"/>
    </row>
    <row r="5" spans="1:12" ht="19.25" customHeight="1" x14ac:dyDescent="0.15">
      <c r="A5" s="70"/>
      <c r="B5" s="74"/>
      <c r="L5" s="55"/>
    </row>
    <row r="6" spans="1:12" ht="19.25" customHeight="1" x14ac:dyDescent="0.15">
      <c r="A6" s="70"/>
      <c r="B6" s="74"/>
      <c r="L6" s="55"/>
    </row>
    <row r="7" spans="1:12" ht="19.25" customHeight="1" x14ac:dyDescent="0.15">
      <c r="A7" s="70"/>
      <c r="B7" s="74"/>
      <c r="L7" s="55"/>
    </row>
    <row r="8" spans="1:12" ht="23" customHeight="1" x14ac:dyDescent="0.15">
      <c r="A8" s="51"/>
      <c r="B8" s="51"/>
      <c r="C8" s="75">
        <v>12</v>
      </c>
      <c r="D8" s="76">
        <v>14</v>
      </c>
      <c r="E8" s="75">
        <v>15</v>
      </c>
      <c r="F8" s="76">
        <v>16</v>
      </c>
      <c r="G8" s="75">
        <v>17</v>
      </c>
      <c r="H8" s="76">
        <v>18</v>
      </c>
      <c r="I8" s="22">
        <v>44</v>
      </c>
    </row>
    <row r="9" spans="1:12" ht="45" customHeight="1" x14ac:dyDescent="0.15">
      <c r="A9" s="21" t="s">
        <v>1</v>
      </c>
      <c r="B9" s="75" t="s">
        <v>2</v>
      </c>
      <c r="C9" s="77" t="s">
        <v>64</v>
      </c>
      <c r="D9" s="78" t="s">
        <v>63</v>
      </c>
      <c r="E9" s="77" t="s">
        <v>62</v>
      </c>
      <c r="F9" s="78" t="s">
        <v>61</v>
      </c>
      <c r="G9" s="77" t="s">
        <v>60</v>
      </c>
      <c r="H9" s="78" t="s">
        <v>59</v>
      </c>
      <c r="I9" s="79" t="s">
        <v>58</v>
      </c>
      <c r="K9" s="55"/>
    </row>
    <row r="10" spans="1:12" s="6" customFormat="1" ht="21.5" customHeight="1" x14ac:dyDescent="0.2">
      <c r="A10" s="43">
        <v>1</v>
      </c>
      <c r="B10" s="50" t="s">
        <v>57</v>
      </c>
      <c r="C10" s="42">
        <v>4000</v>
      </c>
      <c r="D10" s="41"/>
      <c r="E10" s="40"/>
      <c r="F10" s="41"/>
      <c r="G10" s="40"/>
      <c r="H10" s="41"/>
      <c r="I10" s="27"/>
    </row>
    <row r="11" spans="1:12" s="6" customFormat="1" ht="21.5" customHeight="1" x14ac:dyDescent="0.2">
      <c r="A11" s="43">
        <v>15</v>
      </c>
      <c r="B11" s="50" t="s">
        <v>56</v>
      </c>
      <c r="C11" s="42">
        <v>398000</v>
      </c>
      <c r="D11" s="41"/>
      <c r="E11" s="40"/>
      <c r="F11" s="41"/>
      <c r="G11" s="40"/>
      <c r="H11" s="41"/>
      <c r="I11" s="40"/>
    </row>
    <row r="12" spans="1:12" s="6" customFormat="1" ht="21.5" customHeight="1" x14ac:dyDescent="0.2">
      <c r="A12" s="43">
        <v>16</v>
      </c>
      <c r="B12" s="50" t="s">
        <v>55</v>
      </c>
      <c r="C12" s="42">
        <v>150</v>
      </c>
      <c r="D12" s="41"/>
      <c r="E12" s="40"/>
      <c r="F12" s="41"/>
      <c r="G12" s="40"/>
      <c r="H12" s="41"/>
      <c r="I12" s="40"/>
    </row>
    <row r="13" spans="1:12" s="6" customFormat="1" ht="21.5" customHeight="1" x14ac:dyDescent="0.2">
      <c r="A13" s="43">
        <v>17</v>
      </c>
      <c r="B13" s="50" t="s">
        <v>54</v>
      </c>
      <c r="C13" s="42"/>
      <c r="D13" s="41"/>
      <c r="E13" s="40"/>
      <c r="F13" s="41"/>
      <c r="G13" s="40"/>
      <c r="H13" s="41"/>
      <c r="I13" s="40"/>
    </row>
    <row r="14" spans="1:12" s="6" customFormat="1" ht="21.5" customHeight="1" x14ac:dyDescent="0.2">
      <c r="A14" s="43">
        <v>18</v>
      </c>
      <c r="B14" s="50" t="s">
        <v>53</v>
      </c>
      <c r="C14" s="42">
        <v>346</v>
      </c>
      <c r="D14" s="41"/>
      <c r="E14" s="40"/>
      <c r="F14" s="41"/>
      <c r="G14" s="40"/>
      <c r="H14" s="41"/>
      <c r="I14" s="40"/>
    </row>
    <row r="15" spans="1:12" s="6" customFormat="1" ht="21.5" customHeight="1" x14ac:dyDescent="0.2">
      <c r="A15" s="43">
        <v>20</v>
      </c>
      <c r="B15" s="50" t="s">
        <v>52</v>
      </c>
      <c r="C15" s="42">
        <v>398696</v>
      </c>
      <c r="D15" s="41"/>
      <c r="E15" s="40"/>
      <c r="F15" s="41"/>
      <c r="G15" s="40"/>
      <c r="H15" s="41"/>
      <c r="I15" s="40"/>
    </row>
    <row r="16" spans="1:12" s="6" customFormat="1" ht="21.5" customHeight="1" x14ac:dyDescent="0.2">
      <c r="A16" s="43">
        <v>21</v>
      </c>
      <c r="B16" s="50" t="s">
        <v>51</v>
      </c>
      <c r="C16" s="42">
        <v>4000</v>
      </c>
      <c r="D16" s="41"/>
      <c r="E16" s="40"/>
      <c r="F16" s="41"/>
      <c r="G16" s="40"/>
      <c r="H16" s="41"/>
      <c r="I16" s="40"/>
    </row>
    <row r="17" spans="1:9" s="6" customFormat="1" ht="21.5" customHeight="1" x14ac:dyDescent="0.2">
      <c r="A17" s="43">
        <v>30</v>
      </c>
      <c r="B17" s="50" t="s">
        <v>50</v>
      </c>
      <c r="C17" s="42">
        <v>6000</v>
      </c>
      <c r="D17" s="41"/>
      <c r="E17" s="40"/>
      <c r="F17" s="41"/>
      <c r="G17" s="40"/>
      <c r="H17" s="41"/>
      <c r="I17" s="40"/>
    </row>
    <row r="18" spans="1:9" s="6" customFormat="1" ht="21.5" customHeight="1" x14ac:dyDescent="0.2">
      <c r="A18" s="47">
        <v>40</v>
      </c>
      <c r="B18" s="49" t="s">
        <v>49</v>
      </c>
      <c r="C18" s="48">
        <v>6000</v>
      </c>
      <c r="D18" s="45"/>
      <c r="E18" s="44"/>
      <c r="F18" s="45"/>
      <c r="G18" s="44"/>
      <c r="H18" s="45"/>
      <c r="I18" s="44"/>
    </row>
    <row r="19" spans="1:9" s="6" customFormat="1" ht="21.5" customHeight="1" x14ac:dyDescent="0.2">
      <c r="A19" s="43">
        <v>50</v>
      </c>
      <c r="B19" s="43" t="s">
        <v>48</v>
      </c>
      <c r="C19" s="42">
        <v>500</v>
      </c>
      <c r="D19" s="41"/>
      <c r="E19" s="40"/>
      <c r="F19" s="41"/>
      <c r="G19" s="40"/>
      <c r="H19" s="41"/>
      <c r="I19" s="40"/>
    </row>
    <row r="20" spans="1:9" s="6" customFormat="1" ht="21.5" customHeight="1" x14ac:dyDescent="0.2">
      <c r="A20" s="43">
        <v>51</v>
      </c>
      <c r="B20" s="43" t="s">
        <v>47</v>
      </c>
      <c r="C20" s="42">
        <v>600</v>
      </c>
      <c r="D20" s="41"/>
      <c r="E20" s="40"/>
      <c r="F20" s="41"/>
      <c r="G20" s="40"/>
      <c r="H20" s="41"/>
      <c r="I20" s="40"/>
    </row>
    <row r="21" spans="1:9" s="6" customFormat="1" ht="21.5" customHeight="1" x14ac:dyDescent="0.2">
      <c r="A21" s="43">
        <v>52</v>
      </c>
      <c r="B21" s="43" t="s">
        <v>46</v>
      </c>
      <c r="C21" s="42">
        <v>500</v>
      </c>
      <c r="D21" s="41"/>
      <c r="E21" s="40"/>
      <c r="F21" s="41"/>
      <c r="G21" s="40"/>
      <c r="H21" s="41"/>
      <c r="I21" s="40"/>
    </row>
    <row r="22" spans="1:9" s="6" customFormat="1" ht="21.5" customHeight="1" x14ac:dyDescent="0.2">
      <c r="A22" s="43">
        <v>53</v>
      </c>
      <c r="B22" s="43" t="s">
        <v>45</v>
      </c>
      <c r="C22" s="42">
        <v>420</v>
      </c>
      <c r="D22" s="41"/>
      <c r="E22" s="40"/>
      <c r="F22" s="41"/>
      <c r="G22" s="40"/>
      <c r="H22" s="41"/>
      <c r="I22" s="40"/>
    </row>
    <row r="23" spans="1:9" s="6" customFormat="1" ht="21.5" customHeight="1" x14ac:dyDescent="0.2">
      <c r="A23" s="43">
        <v>54</v>
      </c>
      <c r="B23" s="43" t="s">
        <v>44</v>
      </c>
      <c r="C23" s="42"/>
      <c r="D23" s="41"/>
      <c r="E23" s="40"/>
      <c r="F23" s="41"/>
      <c r="G23" s="40"/>
      <c r="H23" s="41"/>
      <c r="I23" s="40"/>
    </row>
    <row r="24" spans="1:9" s="6" customFormat="1" ht="21.5" customHeight="1" x14ac:dyDescent="0.2">
      <c r="A24" s="43">
        <v>55</v>
      </c>
      <c r="B24" s="43" t="s">
        <v>43</v>
      </c>
      <c r="C24" s="42">
        <v>13</v>
      </c>
      <c r="D24" s="41"/>
      <c r="E24" s="40"/>
      <c r="F24" s="41"/>
      <c r="G24" s="40"/>
      <c r="H24" s="41"/>
      <c r="I24" s="40"/>
    </row>
    <row r="25" spans="1:9" s="6" customFormat="1" ht="21.5" customHeight="1" x14ac:dyDescent="0.2">
      <c r="A25" s="43">
        <v>56</v>
      </c>
      <c r="B25" s="43" t="s">
        <v>42</v>
      </c>
      <c r="C25" s="42">
        <v>150</v>
      </c>
      <c r="D25" s="41"/>
      <c r="E25" s="40"/>
      <c r="F25" s="41"/>
      <c r="G25" s="40"/>
      <c r="H25" s="41"/>
      <c r="I25" s="40"/>
    </row>
    <row r="26" spans="1:9" s="6" customFormat="1" ht="21.5" customHeight="1" x14ac:dyDescent="0.2">
      <c r="A26" s="43">
        <v>57</v>
      </c>
      <c r="B26" s="43" t="s">
        <v>41</v>
      </c>
      <c r="C26" s="42">
        <v>800</v>
      </c>
      <c r="D26" s="41"/>
      <c r="E26" s="40"/>
      <c r="F26" s="41"/>
      <c r="G26" s="40"/>
      <c r="H26" s="41"/>
      <c r="I26" s="40"/>
    </row>
    <row r="27" spans="1:9" s="6" customFormat="1" ht="21.5" customHeight="1" x14ac:dyDescent="0.2">
      <c r="A27" s="43">
        <v>58</v>
      </c>
      <c r="B27" s="43" t="s">
        <v>40</v>
      </c>
      <c r="C27" s="42"/>
      <c r="D27" s="41"/>
      <c r="E27" s="40"/>
      <c r="F27" s="41"/>
      <c r="G27" s="40"/>
      <c r="H27" s="41"/>
      <c r="I27" s="40"/>
    </row>
    <row r="28" spans="1:9" s="6" customFormat="1" ht="21.5" customHeight="1" x14ac:dyDescent="0.2">
      <c r="A28" s="43">
        <v>59</v>
      </c>
      <c r="B28" s="43" t="s">
        <v>39</v>
      </c>
      <c r="C28" s="42">
        <v>20</v>
      </c>
      <c r="D28" s="41"/>
      <c r="E28" s="40"/>
      <c r="F28" s="41"/>
      <c r="G28" s="40"/>
      <c r="H28" s="41"/>
      <c r="I28" s="40"/>
    </row>
    <row r="29" spans="1:9" s="6" customFormat="1" ht="21.5" customHeight="1" x14ac:dyDescent="0.2">
      <c r="A29" s="43">
        <v>60</v>
      </c>
      <c r="B29" s="43" t="s">
        <v>38</v>
      </c>
      <c r="C29" s="42">
        <v>36</v>
      </c>
      <c r="D29" s="41"/>
      <c r="E29" s="40"/>
      <c r="F29" s="41"/>
      <c r="G29" s="40"/>
      <c r="H29" s="41"/>
      <c r="I29" s="40"/>
    </row>
    <row r="30" spans="1:9" s="6" customFormat="1" ht="21.5" customHeight="1" x14ac:dyDescent="0.2">
      <c r="A30" s="43">
        <v>61</v>
      </c>
      <c r="B30" s="43" t="s">
        <v>37</v>
      </c>
      <c r="C30" s="42">
        <v>178</v>
      </c>
      <c r="D30" s="41"/>
      <c r="E30" s="40"/>
      <c r="F30" s="41"/>
      <c r="G30" s="40"/>
      <c r="H30" s="41"/>
      <c r="I30" s="40"/>
    </row>
    <row r="31" spans="1:9" s="6" customFormat="1" ht="21.5" customHeight="1" x14ac:dyDescent="0.2">
      <c r="A31" s="43">
        <v>62</v>
      </c>
      <c r="B31" s="43" t="s">
        <v>36</v>
      </c>
      <c r="C31" s="42">
        <v>40</v>
      </c>
      <c r="D31" s="41"/>
      <c r="E31" s="40"/>
      <c r="F31" s="41"/>
      <c r="G31" s="40"/>
      <c r="H31" s="41"/>
      <c r="I31" s="40"/>
    </row>
    <row r="32" spans="1:9" s="6" customFormat="1" ht="21.5" customHeight="1" x14ac:dyDescent="0.2">
      <c r="A32" s="43">
        <v>2</v>
      </c>
      <c r="B32" s="43" t="s">
        <v>35</v>
      </c>
      <c r="C32" s="42">
        <v>60</v>
      </c>
      <c r="D32" s="41"/>
      <c r="E32" s="40"/>
      <c r="F32" s="41"/>
      <c r="G32" s="40"/>
      <c r="H32" s="41"/>
      <c r="I32" s="40"/>
    </row>
    <row r="33" spans="1:9" s="6" customFormat="1" ht="21.5" customHeight="1" x14ac:dyDescent="0.2">
      <c r="A33" s="47">
        <v>90</v>
      </c>
      <c r="B33" s="47" t="s">
        <v>34</v>
      </c>
      <c r="C33" s="44"/>
      <c r="D33" s="46">
        <v>590111</v>
      </c>
      <c r="E33" s="44"/>
      <c r="F33" s="45"/>
      <c r="G33" s="44"/>
      <c r="H33" s="45"/>
      <c r="I33" s="44"/>
    </row>
    <row r="34" spans="1:9" s="6" customFormat="1" ht="21.5" customHeight="1" x14ac:dyDescent="0.2">
      <c r="A34" s="43">
        <v>91</v>
      </c>
      <c r="B34" s="43" t="s">
        <v>33</v>
      </c>
      <c r="C34" s="40"/>
      <c r="D34" s="41"/>
      <c r="E34" s="42">
        <v>800</v>
      </c>
      <c r="F34" s="6">
        <v>7000</v>
      </c>
      <c r="G34" s="42">
        <v>60</v>
      </c>
      <c r="H34" s="6">
        <v>890</v>
      </c>
      <c r="I34" s="40"/>
    </row>
    <row r="35" spans="1:9" s="6" customFormat="1" ht="21.5" customHeight="1" x14ac:dyDescent="0.2">
      <c r="A35" s="43">
        <v>92</v>
      </c>
      <c r="B35" s="43" t="s">
        <v>32</v>
      </c>
      <c r="C35" s="40"/>
      <c r="D35" s="41"/>
      <c r="E35" s="42"/>
      <c r="F35" s="6">
        <v>56</v>
      </c>
      <c r="G35" s="42">
        <v>51</v>
      </c>
      <c r="H35" s="6">
        <v>60</v>
      </c>
      <c r="I35" s="40"/>
    </row>
    <row r="36" spans="1:9" s="6" customFormat="1" ht="21.5" customHeight="1" x14ac:dyDescent="0.2">
      <c r="A36" s="43">
        <v>93</v>
      </c>
      <c r="B36" s="43" t="s">
        <v>79</v>
      </c>
      <c r="C36" s="40"/>
      <c r="D36" s="41"/>
      <c r="E36" s="42"/>
      <c r="G36" s="42">
        <v>4000</v>
      </c>
      <c r="H36" s="6">
        <v>795</v>
      </c>
      <c r="I36" s="40"/>
    </row>
    <row r="37" spans="1:9" s="6" customFormat="1" ht="21.5" customHeight="1" x14ac:dyDescent="0.2">
      <c r="A37" s="43">
        <v>94</v>
      </c>
      <c r="B37" s="43" t="s">
        <v>31</v>
      </c>
      <c r="C37" s="40"/>
      <c r="D37" s="41"/>
      <c r="E37" s="42">
        <v>70</v>
      </c>
      <c r="G37" s="42">
        <v>200</v>
      </c>
      <c r="H37" s="6">
        <v>80</v>
      </c>
      <c r="I37" s="40"/>
    </row>
    <row r="38" spans="1:9" s="6" customFormat="1" ht="21.5" customHeight="1" x14ac:dyDescent="0.2">
      <c r="A38" s="43">
        <v>95</v>
      </c>
      <c r="B38" s="43" t="s">
        <v>30</v>
      </c>
      <c r="C38" s="40"/>
      <c r="D38" s="41"/>
      <c r="E38" s="42">
        <v>86</v>
      </c>
      <c r="G38" s="42">
        <v>6000</v>
      </c>
      <c r="H38" s="6">
        <v>50</v>
      </c>
      <c r="I38" s="40"/>
    </row>
    <row r="39" spans="1:9" s="6" customFormat="1" ht="21.5" customHeight="1" x14ac:dyDescent="0.2">
      <c r="A39" s="43">
        <v>96</v>
      </c>
      <c r="B39" s="43" t="s">
        <v>29</v>
      </c>
      <c r="C39" s="40"/>
      <c r="D39" s="41"/>
      <c r="E39" s="42"/>
      <c r="F39" s="6">
        <v>5</v>
      </c>
      <c r="G39" s="42">
        <v>1990</v>
      </c>
      <c r="I39" s="40"/>
    </row>
    <row r="40" spans="1:9" s="6" customFormat="1" ht="21.5" customHeight="1" x14ac:dyDescent="0.2">
      <c r="A40" s="30">
        <v>97</v>
      </c>
      <c r="B40" s="30" t="s">
        <v>80</v>
      </c>
      <c r="C40" s="39"/>
      <c r="D40" s="38"/>
      <c r="E40" s="37">
        <v>10000</v>
      </c>
      <c r="F40" s="36">
        <v>400</v>
      </c>
      <c r="G40" s="37">
        <v>2000</v>
      </c>
      <c r="H40" s="36"/>
      <c r="I40" s="39"/>
    </row>
    <row r="41" spans="1:9" s="6" customFormat="1" ht="21.5" customHeight="1" x14ac:dyDescent="0.2">
      <c r="A41" s="30">
        <v>103</v>
      </c>
      <c r="B41" s="30" t="s">
        <v>28</v>
      </c>
      <c r="C41" s="39"/>
      <c r="D41" s="38"/>
      <c r="E41" s="39"/>
      <c r="F41" s="38"/>
      <c r="G41" s="39"/>
      <c r="H41" s="38"/>
      <c r="I41" s="37">
        <v>32000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7265-BC2E-4163-BEAA-5A61ED4FF0BD}">
  <dimension ref="A1:CG20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76</v>
      </c>
    </row>
    <row r="2" spans="1:85" s="3" customFormat="1" ht="17.5" customHeight="1" x14ac:dyDescent="0.2">
      <c r="A2" s="4" t="s">
        <v>11</v>
      </c>
      <c r="B2" s="56">
        <v>1106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85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72081000</v>
      </c>
      <c r="B10" s="83" t="s">
        <v>27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42">
        <v>72082600</v>
      </c>
      <c r="B11" s="32" t="s">
        <v>16</v>
      </c>
      <c r="C11" s="68"/>
      <c r="D11" s="70"/>
      <c r="E11" s="70"/>
      <c r="F11" s="70"/>
      <c r="G11" s="70"/>
      <c r="H11" s="70"/>
      <c r="I11" s="70">
        <v>6000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34"/>
    </row>
    <row r="12" spans="1:85" s="3" customFormat="1" ht="22.25" customHeight="1" x14ac:dyDescent="0.2">
      <c r="A12" s="42">
        <v>72083800</v>
      </c>
      <c r="B12" s="32" t="s">
        <v>14</v>
      </c>
      <c r="C12" s="68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34"/>
    </row>
    <row r="13" spans="1:85" s="3" customFormat="1" ht="22.25" customHeight="1" x14ac:dyDescent="0.2">
      <c r="A13" s="42">
        <v>72083900</v>
      </c>
      <c r="B13" s="32" t="s">
        <v>13</v>
      </c>
      <c r="C13" s="68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34"/>
    </row>
    <row r="14" spans="1:85" s="3" customFormat="1" ht="22.25" customHeight="1" x14ac:dyDescent="0.2">
      <c r="A14" s="42">
        <v>72083990</v>
      </c>
      <c r="B14" s="32" t="s">
        <v>25</v>
      </c>
      <c r="C14" s="68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>
        <v>7806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34"/>
    </row>
    <row r="15" spans="1:85" s="6" customFormat="1" ht="22.25" customHeight="1" x14ac:dyDescent="0.2">
      <c r="A15" s="42">
        <v>72091690</v>
      </c>
      <c r="B15" s="32" t="s">
        <v>24</v>
      </c>
      <c r="C15" s="18"/>
      <c r="D15" s="84">
        <v>25005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43"/>
    </row>
    <row r="16" spans="1:85" s="6" customFormat="1" ht="22.25" customHeight="1" x14ac:dyDescent="0.2">
      <c r="A16" s="42">
        <v>72092500</v>
      </c>
      <c r="B16" s="32" t="s">
        <v>65</v>
      </c>
      <c r="C16" s="18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43"/>
    </row>
    <row r="17" spans="1:85" s="6" customFormat="1" ht="22.25" customHeight="1" x14ac:dyDescent="0.2">
      <c r="A17" s="42">
        <v>72092690</v>
      </c>
      <c r="B17" s="32" t="s">
        <v>23</v>
      </c>
      <c r="C17" s="18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43"/>
    </row>
    <row r="18" spans="1:85" s="6" customFormat="1" ht="22.25" customHeight="1" x14ac:dyDescent="0.2">
      <c r="A18" s="42">
        <v>72104900</v>
      </c>
      <c r="B18" s="32" t="s">
        <v>22</v>
      </c>
      <c r="C18" s="18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43"/>
    </row>
    <row r="19" spans="1:85" s="6" customFormat="1" ht="22.25" customHeight="1" x14ac:dyDescent="0.2">
      <c r="A19" s="42">
        <v>72104910</v>
      </c>
      <c r="B19" s="32" t="s">
        <v>21</v>
      </c>
      <c r="C19" s="18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43"/>
    </row>
    <row r="20" spans="1:85" s="6" customFormat="1" ht="22.25" customHeight="1" x14ac:dyDescent="0.2">
      <c r="A20" s="37">
        <v>72112920</v>
      </c>
      <c r="B20" s="29" t="s">
        <v>20</v>
      </c>
      <c r="C20" s="8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0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7EF6-F2DE-41E3-A88B-1B8A1DB13295}">
  <dimension ref="A1:CG20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76</v>
      </c>
    </row>
    <row r="2" spans="1:85" s="3" customFormat="1" ht="17.5" customHeight="1" x14ac:dyDescent="0.2">
      <c r="A2" s="4" t="s">
        <v>11</v>
      </c>
      <c r="B2" s="56">
        <v>1106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169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72081000</v>
      </c>
      <c r="B10" s="83" t="s">
        <v>27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42">
        <v>72082600</v>
      </c>
      <c r="B11" s="32" t="s">
        <v>16</v>
      </c>
      <c r="C11" s="68"/>
      <c r="D11" s="70"/>
      <c r="E11" s="70"/>
      <c r="F11" s="70"/>
      <c r="G11" s="70"/>
      <c r="H11" s="70"/>
      <c r="I11" s="70">
        <v>450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34"/>
    </row>
    <row r="12" spans="1:85" s="3" customFormat="1" ht="22.25" customHeight="1" x14ac:dyDescent="0.2">
      <c r="A12" s="42">
        <v>72083800</v>
      </c>
      <c r="B12" s="32" t="s">
        <v>14</v>
      </c>
      <c r="C12" s="68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34"/>
    </row>
    <row r="13" spans="1:85" s="3" customFormat="1" ht="22.25" customHeight="1" x14ac:dyDescent="0.2">
      <c r="A13" s="42">
        <v>72083900</v>
      </c>
      <c r="B13" s="32" t="s">
        <v>13</v>
      </c>
      <c r="C13" s="68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34"/>
    </row>
    <row r="14" spans="1:85" s="3" customFormat="1" ht="22.25" customHeight="1" x14ac:dyDescent="0.2">
      <c r="A14" s="42">
        <v>72083990</v>
      </c>
      <c r="B14" s="32" t="s">
        <v>25</v>
      </c>
      <c r="C14" s="68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>
        <v>528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34"/>
    </row>
    <row r="15" spans="1:85" s="6" customFormat="1" ht="22.25" customHeight="1" x14ac:dyDescent="0.2">
      <c r="A15" s="42">
        <v>72091690</v>
      </c>
      <c r="B15" s="32" t="s">
        <v>24</v>
      </c>
      <c r="C15" s="18"/>
      <c r="D15" s="84">
        <v>6580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43"/>
    </row>
    <row r="16" spans="1:85" s="6" customFormat="1" ht="22.25" customHeight="1" x14ac:dyDescent="0.2">
      <c r="A16" s="42">
        <v>72092500</v>
      </c>
      <c r="B16" s="32" t="s">
        <v>65</v>
      </c>
      <c r="C16" s="18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43"/>
    </row>
    <row r="17" spans="1:85" s="6" customFormat="1" ht="22.25" customHeight="1" x14ac:dyDescent="0.2">
      <c r="A17" s="42">
        <v>72092690</v>
      </c>
      <c r="B17" s="32" t="s">
        <v>23</v>
      </c>
      <c r="C17" s="18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43"/>
    </row>
    <row r="18" spans="1:85" s="6" customFormat="1" ht="22.25" customHeight="1" x14ac:dyDescent="0.2">
      <c r="A18" s="42">
        <v>72104900</v>
      </c>
      <c r="B18" s="32" t="s">
        <v>22</v>
      </c>
      <c r="C18" s="18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43"/>
    </row>
    <row r="19" spans="1:85" s="6" customFormat="1" ht="22.25" customHeight="1" x14ac:dyDescent="0.2">
      <c r="A19" s="42">
        <v>72104910</v>
      </c>
      <c r="B19" s="32" t="s">
        <v>21</v>
      </c>
      <c r="C19" s="18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43"/>
    </row>
    <row r="20" spans="1:85" s="6" customFormat="1" ht="22.25" customHeight="1" x14ac:dyDescent="0.2">
      <c r="A20" s="37">
        <v>72112920</v>
      </c>
      <c r="B20" s="29" t="s">
        <v>20</v>
      </c>
      <c r="C20" s="8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0"/>
    </row>
  </sheetData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9888-C8EF-4E22-9CBF-86F16D00FEA2}">
  <dimension ref="A1:L11"/>
  <sheetViews>
    <sheetView zoomScaleNormal="100" workbookViewId="0">
      <selection activeCell="B2" sqref="B2"/>
    </sheetView>
  </sheetViews>
  <sheetFormatPr baseColWidth="10" defaultColWidth="8.83203125" defaultRowHeight="12" x14ac:dyDescent="0.15"/>
  <cols>
    <col min="1" max="1" width="32" style="1" customWidth="1"/>
    <col min="2" max="2" width="39.5" style="2" customWidth="1"/>
    <col min="3" max="3" width="25.5" style="1" customWidth="1"/>
    <col min="4" max="4" width="10.1640625" style="1" customWidth="1"/>
    <col min="5" max="5" width="12.33203125" style="1" customWidth="1"/>
    <col min="6" max="6" width="10.6640625" style="1" customWidth="1"/>
    <col min="7" max="7" width="11.33203125" style="1" customWidth="1"/>
    <col min="8" max="8" width="10.33203125" style="1" customWidth="1"/>
    <col min="9" max="9" width="11.33203125" style="1" customWidth="1"/>
    <col min="10" max="10" width="14" style="1" customWidth="1"/>
    <col min="11" max="11" width="23.5" style="1" customWidth="1"/>
    <col min="12" max="16384" width="8.83203125" style="1"/>
  </cols>
  <sheetData>
    <row r="1" spans="1:12" s="3" customFormat="1" ht="17.5" customHeight="1" x14ac:dyDescent="0.2">
      <c r="A1" s="35" t="s">
        <v>10</v>
      </c>
      <c r="B1" s="56" t="s">
        <v>77</v>
      </c>
    </row>
    <row r="2" spans="1:12" s="3" customFormat="1" ht="17.5" customHeight="1" x14ac:dyDescent="0.2">
      <c r="A2" s="4" t="s">
        <v>11</v>
      </c>
      <c r="B2" s="56">
        <v>1108</v>
      </c>
    </row>
    <row r="3" spans="1:12" s="3" customFormat="1" ht="17.5" customHeight="1" x14ac:dyDescent="0.2">
      <c r="A3" s="5" t="s">
        <v>12</v>
      </c>
      <c r="B3" s="57">
        <v>44044</v>
      </c>
    </row>
    <row r="4" spans="1:12" s="3" customFormat="1" ht="17.5" customHeight="1" x14ac:dyDescent="0.2">
      <c r="A4" s="5" t="s">
        <v>72</v>
      </c>
      <c r="B4" s="73" t="s">
        <v>82</v>
      </c>
    </row>
    <row r="5" spans="1:12" ht="21" customHeight="1" x14ac:dyDescent="0.15">
      <c r="A5" s="10"/>
      <c r="B5" s="11"/>
      <c r="C5" s="10"/>
      <c r="D5" s="10"/>
      <c r="E5" s="10"/>
      <c r="F5" s="10"/>
      <c r="G5" s="10"/>
      <c r="H5" s="10"/>
      <c r="I5" s="10"/>
      <c r="J5" s="10"/>
      <c r="K5" s="10"/>
    </row>
    <row r="6" spans="1:12" s="20" customFormat="1" ht="22.25" customHeight="1" x14ac:dyDescent="0.15">
      <c r="A6" s="55"/>
      <c r="B6" s="87"/>
      <c r="C6" s="55"/>
      <c r="D6" s="55"/>
      <c r="E6" s="55"/>
      <c r="F6" s="55"/>
      <c r="G6" s="55"/>
      <c r="H6" s="55"/>
      <c r="I6" s="55"/>
      <c r="J6" s="55"/>
      <c r="K6" s="55"/>
      <c r="L6" s="19"/>
    </row>
    <row r="7" spans="1:12" s="20" customFormat="1" ht="22.25" customHeight="1" x14ac:dyDescent="0.15">
      <c r="A7" s="10"/>
      <c r="B7" s="11"/>
      <c r="C7" s="23"/>
      <c r="D7" s="88" t="s">
        <v>0</v>
      </c>
      <c r="E7" s="89"/>
      <c r="F7" s="89"/>
      <c r="G7" s="89"/>
      <c r="H7" s="89"/>
      <c r="I7" s="90"/>
      <c r="J7" s="59"/>
      <c r="K7" s="60"/>
    </row>
    <row r="8" spans="1:12" s="20" customFormat="1" ht="22.25" customHeight="1" x14ac:dyDescent="0.2">
      <c r="A8" s="86"/>
      <c r="B8" s="72"/>
      <c r="C8" s="23">
        <v>2</v>
      </c>
      <c r="D8" s="23">
        <v>3</v>
      </c>
      <c r="E8" s="24">
        <v>4</v>
      </c>
      <c r="F8" s="23">
        <v>5</v>
      </c>
      <c r="G8" s="23">
        <v>6</v>
      </c>
      <c r="H8" s="23">
        <v>7</v>
      </c>
      <c r="I8" s="60">
        <v>8</v>
      </c>
      <c r="J8" s="60">
        <v>9</v>
      </c>
      <c r="K8" s="23">
        <v>10</v>
      </c>
    </row>
    <row r="9" spans="1:12" s="20" customFormat="1" ht="22.25" customHeight="1" x14ac:dyDescent="0.2">
      <c r="A9" s="5" t="s">
        <v>1</v>
      </c>
      <c r="B9" s="61" t="s">
        <v>2</v>
      </c>
      <c r="C9" s="23" t="s">
        <v>3</v>
      </c>
      <c r="D9" s="64" t="s">
        <v>170</v>
      </c>
      <c r="E9" s="62" t="s">
        <v>171</v>
      </c>
      <c r="F9" s="64" t="s">
        <v>172</v>
      </c>
      <c r="G9" s="64" t="s">
        <v>173</v>
      </c>
      <c r="H9" s="64" t="s">
        <v>174</v>
      </c>
      <c r="I9" s="64" t="s">
        <v>175</v>
      </c>
      <c r="J9" s="60" t="s">
        <v>4</v>
      </c>
      <c r="K9" s="23" t="s">
        <v>5</v>
      </c>
      <c r="L9" s="19"/>
    </row>
    <row r="10" spans="1:12" s="3" customFormat="1" ht="24" customHeight="1" x14ac:dyDescent="0.2">
      <c r="A10" s="6">
        <v>72105000</v>
      </c>
      <c r="B10" s="32" t="s">
        <v>70</v>
      </c>
      <c r="C10" s="33"/>
      <c r="D10" s="3">
        <v>4000</v>
      </c>
      <c r="E10" s="33">
        <v>600</v>
      </c>
      <c r="G10" s="33"/>
      <c r="H10" s="3">
        <v>5000</v>
      </c>
      <c r="I10" s="33"/>
      <c r="J10" s="34">
        <v>500</v>
      </c>
      <c r="K10" s="33"/>
    </row>
    <row r="11" spans="1:12" s="3" customFormat="1" ht="24" customHeight="1" x14ac:dyDescent="0.2">
      <c r="A11" s="36">
        <v>72125020</v>
      </c>
      <c r="B11" s="29" t="s">
        <v>67</v>
      </c>
      <c r="C11" s="52"/>
      <c r="D11" s="54"/>
      <c r="E11" s="52"/>
      <c r="F11" s="54">
        <v>5000</v>
      </c>
      <c r="G11" s="52">
        <v>48888</v>
      </c>
      <c r="H11" s="54"/>
      <c r="I11" s="52">
        <v>4000</v>
      </c>
      <c r="J11" s="53"/>
      <c r="K11" s="52">
        <v>6000</v>
      </c>
    </row>
  </sheetData>
  <mergeCells count="1">
    <mergeCell ref="D7:I7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8E12-73B5-4159-8D70-F8E648E02CF8}">
  <dimension ref="A1:CG11"/>
  <sheetViews>
    <sheetView workbookViewId="0">
      <selection activeCell="B2" sqref="B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77</v>
      </c>
    </row>
    <row r="2" spans="1:85" s="3" customFormat="1" ht="17.5" customHeight="1" x14ac:dyDescent="0.2">
      <c r="A2" s="4" t="s">
        <v>11</v>
      </c>
      <c r="B2" s="56">
        <v>1108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85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72105000</v>
      </c>
      <c r="B10" s="83" t="s">
        <v>70</v>
      </c>
      <c r="C10" s="66"/>
      <c r="D10" s="67"/>
      <c r="E10" s="67"/>
      <c r="F10" s="67"/>
      <c r="G10" s="67"/>
      <c r="H10" s="67"/>
      <c r="I10" s="67"/>
      <c r="J10" s="67"/>
      <c r="K10" s="67">
        <v>4000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37">
        <v>72125020</v>
      </c>
      <c r="B11" s="29" t="s">
        <v>67</v>
      </c>
      <c r="C11" s="81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3"/>
    </row>
  </sheetData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23C3-9EDA-4A15-8FC2-381408479619}">
  <dimension ref="A1:CG11"/>
  <sheetViews>
    <sheetView topLeftCell="A3" workbookViewId="0">
      <selection activeCell="D22" sqref="D22"/>
    </sheetView>
  </sheetViews>
  <sheetFormatPr baseColWidth="10" defaultColWidth="8.83203125" defaultRowHeight="12" x14ac:dyDescent="0.15"/>
  <cols>
    <col min="1" max="1" width="23.5" style="1" customWidth="1"/>
    <col min="2" max="2" width="39.5" style="2" customWidth="1"/>
    <col min="3" max="3" width="7.5" style="1" bestFit="1" customWidth="1"/>
    <col min="4" max="4" width="7.6640625" style="1" bestFit="1" customWidth="1"/>
    <col min="5" max="5" width="12.83203125" style="1" bestFit="1" customWidth="1"/>
    <col min="6" max="6" width="8.6640625" style="1" bestFit="1" customWidth="1"/>
    <col min="7" max="7" width="5" style="1" bestFit="1" customWidth="1"/>
    <col min="8" max="8" width="14.6640625" style="1" bestFit="1" customWidth="1"/>
    <col min="9" max="9" width="13.5" style="1" bestFit="1" customWidth="1"/>
    <col min="10" max="10" width="8.6640625" style="1" bestFit="1" customWidth="1"/>
    <col min="11" max="11" width="7.6640625" style="1" bestFit="1" customWidth="1"/>
    <col min="12" max="12" width="9.6640625" style="1" bestFit="1" customWidth="1"/>
    <col min="13" max="13" width="5.5" style="1" bestFit="1" customWidth="1"/>
    <col min="14" max="14" width="12.1640625" style="1" bestFit="1" customWidth="1"/>
    <col min="15" max="16" width="8.1640625" style="1" bestFit="1" customWidth="1"/>
    <col min="17" max="18" width="7.5" style="1" bestFit="1" customWidth="1"/>
    <col min="19" max="19" width="12.33203125" style="1" bestFit="1" customWidth="1"/>
    <col min="20" max="20" width="7.33203125" style="1" bestFit="1" customWidth="1"/>
    <col min="21" max="21" width="7.6640625" style="1" bestFit="1" customWidth="1"/>
    <col min="22" max="22" width="6" style="1" bestFit="1" customWidth="1"/>
    <col min="23" max="23" width="8.6640625" style="1" bestFit="1" customWidth="1"/>
    <col min="24" max="24" width="7.5" style="1" bestFit="1" customWidth="1"/>
    <col min="25" max="25" width="15" style="1" bestFit="1" customWidth="1"/>
    <col min="26" max="27" width="8.5" style="1" bestFit="1" customWidth="1"/>
    <col min="28" max="28" width="8" style="1" bestFit="1" customWidth="1"/>
    <col min="29" max="29" width="8.6640625" style="1" bestFit="1" customWidth="1"/>
    <col min="30" max="30" width="7.6640625" style="1" bestFit="1" customWidth="1"/>
    <col min="31" max="31" width="8.33203125" style="1" bestFit="1" customWidth="1"/>
    <col min="32" max="32" width="6.6640625" style="1" bestFit="1" customWidth="1"/>
    <col min="33" max="33" width="8.6640625" style="1" bestFit="1" customWidth="1"/>
    <col min="34" max="34" width="7.83203125" style="1" bestFit="1" customWidth="1"/>
    <col min="35" max="35" width="6.6640625" style="1" bestFit="1" customWidth="1"/>
    <col min="36" max="36" width="9.6640625" style="1" bestFit="1" customWidth="1"/>
    <col min="37" max="37" width="7.5" style="1" bestFit="1" customWidth="1"/>
    <col min="38" max="38" width="6.6640625" style="1" bestFit="1" customWidth="1"/>
    <col min="39" max="39" width="6.33203125" style="1" bestFit="1" customWidth="1"/>
    <col min="40" max="40" width="6.6640625" style="1" bestFit="1" customWidth="1"/>
    <col min="41" max="41" width="6.33203125" style="1" bestFit="1" customWidth="1"/>
    <col min="42" max="42" width="6.1640625" style="1" bestFit="1" customWidth="1"/>
    <col min="43" max="43" width="9.33203125" style="1" bestFit="1" customWidth="1"/>
    <col min="44" max="44" width="12.6640625" style="1" bestFit="1" customWidth="1"/>
    <col min="45" max="45" width="4.33203125" style="1" bestFit="1" customWidth="1"/>
    <col min="46" max="46" width="7.33203125" style="1" bestFit="1" customWidth="1"/>
    <col min="47" max="47" width="7" style="1" bestFit="1" customWidth="1"/>
    <col min="48" max="48" width="10.33203125" style="1" bestFit="1" customWidth="1"/>
    <col min="49" max="49" width="12" style="1" bestFit="1" customWidth="1"/>
    <col min="50" max="50" width="8.33203125" style="1" bestFit="1" customWidth="1"/>
    <col min="51" max="51" width="12" style="1" bestFit="1" customWidth="1"/>
    <col min="52" max="52" width="10.5" style="1" bestFit="1" customWidth="1"/>
    <col min="53" max="53" width="19.6640625" style="1" bestFit="1" customWidth="1"/>
    <col min="54" max="54" width="9.33203125" style="1" bestFit="1" customWidth="1"/>
    <col min="55" max="55" width="7.33203125" style="1" bestFit="1" customWidth="1"/>
    <col min="56" max="56" width="5.33203125" style="1" bestFit="1" customWidth="1"/>
    <col min="57" max="57" width="6.33203125" style="1" bestFit="1" customWidth="1"/>
    <col min="58" max="58" width="5.5" style="1" bestFit="1" customWidth="1"/>
    <col min="59" max="59" width="9.83203125" style="1" bestFit="1" customWidth="1"/>
    <col min="60" max="60" width="7.5" style="1" bestFit="1" customWidth="1"/>
    <col min="61" max="61" width="6.5" style="1" bestFit="1" customWidth="1"/>
    <col min="62" max="62" width="7.5" style="1" bestFit="1" customWidth="1"/>
    <col min="63" max="63" width="11.6640625" style="1" bestFit="1" customWidth="1"/>
    <col min="64" max="64" width="7" style="1" bestFit="1" customWidth="1"/>
    <col min="65" max="65" width="7.6640625" style="1" bestFit="1" customWidth="1"/>
    <col min="66" max="66" width="6.33203125" style="1" bestFit="1" customWidth="1"/>
    <col min="67" max="67" width="20.33203125" style="1" bestFit="1" customWidth="1"/>
    <col min="68" max="68" width="8.5" style="1" bestFit="1" customWidth="1"/>
    <col min="69" max="69" width="4.6640625" style="1" bestFit="1" customWidth="1"/>
    <col min="70" max="70" width="9" style="1" bestFit="1" customWidth="1"/>
    <col min="71" max="71" width="8.5" style="1" bestFit="1" customWidth="1"/>
    <col min="72" max="72" width="7.5" style="1" bestFit="1" customWidth="1"/>
    <col min="73" max="73" width="9.5" style="1" bestFit="1" customWidth="1"/>
    <col min="74" max="74" width="8.33203125" style="1" bestFit="1" customWidth="1"/>
    <col min="75" max="75" width="10.33203125" style="1" bestFit="1" customWidth="1"/>
    <col min="76" max="76" width="5.5" style="1" bestFit="1" customWidth="1"/>
    <col min="77" max="77" width="12.6640625" style="1" bestFit="1" customWidth="1"/>
    <col min="78" max="78" width="5.6640625" style="1" bestFit="1" customWidth="1"/>
    <col min="79" max="79" width="6.83203125" style="1" bestFit="1" customWidth="1"/>
    <col min="80" max="80" width="10.6640625" style="1" bestFit="1" customWidth="1"/>
    <col min="81" max="81" width="9.5" style="1" bestFit="1" customWidth="1"/>
    <col min="82" max="82" width="12.33203125" style="1" bestFit="1" customWidth="1"/>
    <col min="83" max="83" width="18" style="1" bestFit="1" customWidth="1"/>
    <col min="84" max="84" width="8.5" style="1" customWidth="1"/>
    <col min="85" max="85" width="14.83203125" style="1" customWidth="1"/>
    <col min="86" max="16384" width="8.83203125" style="1"/>
  </cols>
  <sheetData>
    <row r="1" spans="1:85" s="3" customFormat="1" ht="17.5" customHeight="1" x14ac:dyDescent="0.2">
      <c r="A1" s="35" t="s">
        <v>10</v>
      </c>
      <c r="B1" s="56" t="s">
        <v>77</v>
      </c>
    </row>
    <row r="2" spans="1:85" s="3" customFormat="1" ht="17.5" customHeight="1" x14ac:dyDescent="0.2">
      <c r="A2" s="4" t="s">
        <v>11</v>
      </c>
      <c r="B2" s="56">
        <v>1108</v>
      </c>
    </row>
    <row r="3" spans="1:85" s="3" customFormat="1" ht="17.5" customHeight="1" x14ac:dyDescent="0.2">
      <c r="A3" s="5" t="s">
        <v>12</v>
      </c>
      <c r="B3" s="57">
        <v>44044</v>
      </c>
    </row>
    <row r="4" spans="1:85" s="3" customFormat="1" ht="17.5" customHeight="1" x14ac:dyDescent="0.2">
      <c r="A4" s="62" t="s">
        <v>84</v>
      </c>
      <c r="B4" s="63" t="s">
        <v>169</v>
      </c>
    </row>
    <row r="5" spans="1:85" s="3" customFormat="1" ht="17.5" customHeight="1" x14ac:dyDescent="0.2">
      <c r="A5" s="67"/>
      <c r="B5" s="69"/>
    </row>
    <row r="6" spans="1:85" s="3" customFormat="1" ht="17.5" customHeight="1" x14ac:dyDescent="0.2">
      <c r="A6" s="70"/>
      <c r="B6" s="71"/>
    </row>
    <row r="7" spans="1:85" s="3" customFormat="1" ht="17.5" customHeight="1" x14ac:dyDescent="0.2">
      <c r="A7" s="54"/>
      <c r="B7" s="72"/>
    </row>
    <row r="8" spans="1:85" s="6" customFormat="1" ht="23" customHeight="1" x14ac:dyDescent="0.2">
      <c r="A8" s="48"/>
      <c r="B8" s="56"/>
      <c r="C8" s="23">
        <v>1001</v>
      </c>
      <c r="D8" s="60">
        <v>1002</v>
      </c>
      <c r="E8" s="48">
        <v>1003</v>
      </c>
      <c r="F8" s="48">
        <v>1004</v>
      </c>
      <c r="G8" s="48">
        <v>1005</v>
      </c>
      <c r="H8" s="48">
        <v>1006</v>
      </c>
      <c r="I8" s="48">
        <v>1007</v>
      </c>
      <c r="J8" s="48">
        <v>1008</v>
      </c>
      <c r="K8" s="48">
        <v>1009</v>
      </c>
      <c r="L8" s="48">
        <v>1010</v>
      </c>
      <c r="M8" s="48">
        <v>1011</v>
      </c>
      <c r="N8" s="48">
        <v>1019</v>
      </c>
      <c r="O8" s="48">
        <v>1028</v>
      </c>
      <c r="P8" s="48">
        <v>1030</v>
      </c>
      <c r="Q8" s="48">
        <v>1032</v>
      </c>
      <c r="R8" s="48">
        <v>1038</v>
      </c>
      <c r="S8" s="48">
        <v>1039</v>
      </c>
      <c r="T8" s="48">
        <v>1052</v>
      </c>
      <c r="U8" s="48">
        <v>1053</v>
      </c>
      <c r="V8" s="48">
        <v>1054</v>
      </c>
      <c r="W8" s="48">
        <v>1055</v>
      </c>
      <c r="X8" s="48">
        <v>1060</v>
      </c>
      <c r="Y8" s="48">
        <v>1061</v>
      </c>
      <c r="Z8" s="48">
        <v>1063</v>
      </c>
      <c r="AA8" s="48">
        <v>1064</v>
      </c>
      <c r="AB8" s="48">
        <v>1066</v>
      </c>
      <c r="AC8" s="48">
        <v>1068</v>
      </c>
      <c r="AD8" s="48">
        <v>1072</v>
      </c>
      <c r="AE8" s="48">
        <v>1073</v>
      </c>
      <c r="AF8" s="48">
        <v>1075</v>
      </c>
      <c r="AG8" s="48">
        <v>1091</v>
      </c>
      <c r="AH8" s="48">
        <v>1092</v>
      </c>
      <c r="AI8" s="48">
        <v>1098</v>
      </c>
      <c r="AJ8" s="48">
        <v>1204</v>
      </c>
      <c r="AK8" s="48">
        <v>1208</v>
      </c>
      <c r="AL8" s="48">
        <v>1212</v>
      </c>
      <c r="AM8" s="48">
        <v>1220</v>
      </c>
      <c r="AN8" s="48">
        <v>1260</v>
      </c>
      <c r="AO8" s="48">
        <v>1276</v>
      </c>
      <c r="AP8" s="48">
        <v>1346</v>
      </c>
      <c r="AQ8" s="48">
        <v>1373</v>
      </c>
      <c r="AR8" s="48">
        <v>1388</v>
      </c>
      <c r="AS8" s="48">
        <v>1400</v>
      </c>
      <c r="AT8" s="48">
        <v>1404</v>
      </c>
      <c r="AU8" s="48">
        <v>1412</v>
      </c>
      <c r="AV8" s="48">
        <v>1416</v>
      </c>
      <c r="AW8" s="48">
        <v>1428</v>
      </c>
      <c r="AX8" s="48">
        <v>1453</v>
      </c>
      <c r="AY8" s="48">
        <v>1458</v>
      </c>
      <c r="AZ8" s="48">
        <v>1462</v>
      </c>
      <c r="BA8" s="48">
        <v>1472</v>
      </c>
      <c r="BB8" s="48">
        <v>1480</v>
      </c>
      <c r="BC8" s="48">
        <v>1488</v>
      </c>
      <c r="BD8" s="48">
        <v>1504</v>
      </c>
      <c r="BE8" s="48">
        <v>1508</v>
      </c>
      <c r="BF8" s="48">
        <v>1512</v>
      </c>
      <c r="BG8" s="48">
        <v>1528</v>
      </c>
      <c r="BH8" s="48">
        <v>1600</v>
      </c>
      <c r="BI8" s="48">
        <v>1624</v>
      </c>
      <c r="BJ8" s="48">
        <v>1628</v>
      </c>
      <c r="BK8" s="48">
        <v>1632</v>
      </c>
      <c r="BL8" s="48">
        <v>1636</v>
      </c>
      <c r="BM8" s="48">
        <v>1640</v>
      </c>
      <c r="BN8" s="48">
        <v>1644</v>
      </c>
      <c r="BO8" s="48">
        <v>1647</v>
      </c>
      <c r="BP8" s="48">
        <v>1662</v>
      </c>
      <c r="BQ8" s="48">
        <v>1664</v>
      </c>
      <c r="BR8" s="48">
        <v>1669</v>
      </c>
      <c r="BS8" s="48">
        <v>1680</v>
      </c>
      <c r="BT8" s="48">
        <v>1690</v>
      </c>
      <c r="BU8" s="48">
        <v>1700</v>
      </c>
      <c r="BV8" s="48">
        <v>1701</v>
      </c>
      <c r="BW8" s="48">
        <v>1706</v>
      </c>
      <c r="BX8" s="48">
        <v>1720</v>
      </c>
      <c r="BY8" s="48">
        <v>1728</v>
      </c>
      <c r="BZ8" s="48">
        <v>1732</v>
      </c>
      <c r="CA8" s="48">
        <v>1736</v>
      </c>
      <c r="CB8" s="48">
        <v>1740</v>
      </c>
      <c r="CC8" s="48">
        <v>1800</v>
      </c>
      <c r="CD8" s="48">
        <v>1804</v>
      </c>
      <c r="CE8" s="48">
        <v>1812</v>
      </c>
      <c r="CF8" s="48">
        <v>1990</v>
      </c>
      <c r="CG8" s="48">
        <v>1998</v>
      </c>
    </row>
    <row r="9" spans="1:85" s="3" customFormat="1" ht="22.25" customHeight="1" x14ac:dyDescent="0.2">
      <c r="A9" s="5" t="s">
        <v>1</v>
      </c>
      <c r="B9" s="61" t="s">
        <v>2</v>
      </c>
      <c r="C9" s="64" t="s">
        <v>86</v>
      </c>
      <c r="D9" s="65" t="s">
        <v>87</v>
      </c>
      <c r="E9" s="65" t="s">
        <v>88</v>
      </c>
      <c r="F9" s="65" t="s">
        <v>89</v>
      </c>
      <c r="G9" s="65" t="s">
        <v>90</v>
      </c>
      <c r="H9" s="65" t="s">
        <v>91</v>
      </c>
      <c r="I9" s="65" t="s">
        <v>92</v>
      </c>
      <c r="J9" s="65" t="s">
        <v>93</v>
      </c>
      <c r="K9" s="65" t="s">
        <v>94</v>
      </c>
      <c r="L9" s="65" t="s">
        <v>95</v>
      </c>
      <c r="M9" s="65" t="s">
        <v>96</v>
      </c>
      <c r="N9" s="65" t="s">
        <v>97</v>
      </c>
      <c r="O9" s="65" t="s">
        <v>98</v>
      </c>
      <c r="P9" s="65" t="s">
        <v>99</v>
      </c>
      <c r="Q9" s="65" t="s">
        <v>100</v>
      </c>
      <c r="R9" s="65" t="s">
        <v>101</v>
      </c>
      <c r="S9" s="65" t="s">
        <v>102</v>
      </c>
      <c r="T9" s="65" t="s">
        <v>103</v>
      </c>
      <c r="U9" s="65" t="s">
        <v>104</v>
      </c>
      <c r="V9" s="65" t="s">
        <v>105</v>
      </c>
      <c r="W9" s="65" t="s">
        <v>106</v>
      </c>
      <c r="X9" s="65" t="s">
        <v>107</v>
      </c>
      <c r="Y9" s="65" t="s">
        <v>108</v>
      </c>
      <c r="Z9" s="65" t="s">
        <v>109</v>
      </c>
      <c r="AA9" s="65" t="s">
        <v>110</v>
      </c>
      <c r="AB9" s="65" t="s">
        <v>111</v>
      </c>
      <c r="AC9" s="65" t="s">
        <v>112</v>
      </c>
      <c r="AD9" s="65" t="s">
        <v>113</v>
      </c>
      <c r="AE9" s="65" t="s">
        <v>114</v>
      </c>
      <c r="AF9" s="65" t="s">
        <v>115</v>
      </c>
      <c r="AG9" s="65" t="s">
        <v>116</v>
      </c>
      <c r="AH9" s="65" t="s">
        <v>117</v>
      </c>
      <c r="AI9" s="65" t="s">
        <v>118</v>
      </c>
      <c r="AJ9" s="65" t="s">
        <v>119</v>
      </c>
      <c r="AK9" s="65" t="s">
        <v>120</v>
      </c>
      <c r="AL9" s="65" t="s">
        <v>121</v>
      </c>
      <c r="AM9" s="65" t="s">
        <v>122</v>
      </c>
      <c r="AN9" s="65" t="s">
        <v>123</v>
      </c>
      <c r="AO9" s="65" t="s">
        <v>124</v>
      </c>
      <c r="AP9" s="65" t="s">
        <v>125</v>
      </c>
      <c r="AQ9" s="65" t="s">
        <v>126</v>
      </c>
      <c r="AR9" s="65" t="s">
        <v>127</v>
      </c>
      <c r="AS9" s="65" t="s">
        <v>128</v>
      </c>
      <c r="AT9" s="65" t="s">
        <v>129</v>
      </c>
      <c r="AU9" s="65" t="s">
        <v>130</v>
      </c>
      <c r="AV9" s="65" t="s">
        <v>131</v>
      </c>
      <c r="AW9" s="65" t="s">
        <v>132</v>
      </c>
      <c r="AX9" s="65" t="s">
        <v>133</v>
      </c>
      <c r="AY9" s="65" t="s">
        <v>134</v>
      </c>
      <c r="AZ9" s="65" t="s">
        <v>135</v>
      </c>
      <c r="BA9" s="65" t="s">
        <v>136</v>
      </c>
      <c r="BB9" s="65" t="s">
        <v>137</v>
      </c>
      <c r="BC9" s="65" t="s">
        <v>138</v>
      </c>
      <c r="BD9" s="65" t="s">
        <v>139</v>
      </c>
      <c r="BE9" s="65" t="s">
        <v>140</v>
      </c>
      <c r="BF9" s="65" t="s">
        <v>141</v>
      </c>
      <c r="BG9" s="65" t="s">
        <v>142</v>
      </c>
      <c r="BH9" s="65" t="s">
        <v>143</v>
      </c>
      <c r="BI9" s="65" t="s">
        <v>144</v>
      </c>
      <c r="BJ9" s="65" t="s">
        <v>145</v>
      </c>
      <c r="BK9" s="65" t="s">
        <v>146</v>
      </c>
      <c r="BL9" s="65" t="s">
        <v>147</v>
      </c>
      <c r="BM9" s="65" t="s">
        <v>148</v>
      </c>
      <c r="BN9" s="65" t="s">
        <v>149</v>
      </c>
      <c r="BO9" s="65" t="s">
        <v>150</v>
      </c>
      <c r="BP9" s="65" t="s">
        <v>151</v>
      </c>
      <c r="BQ9" s="65" t="s">
        <v>152</v>
      </c>
      <c r="BR9" s="65" t="s">
        <v>153</v>
      </c>
      <c r="BS9" s="65" t="s">
        <v>154</v>
      </c>
      <c r="BT9" s="65" t="s">
        <v>155</v>
      </c>
      <c r="BU9" s="65" t="s">
        <v>156</v>
      </c>
      <c r="BV9" s="65" t="s">
        <v>157</v>
      </c>
      <c r="BW9" s="65" t="s">
        <v>158</v>
      </c>
      <c r="BX9" s="65" t="s">
        <v>159</v>
      </c>
      <c r="BY9" s="65" t="s">
        <v>160</v>
      </c>
      <c r="BZ9" s="65" t="s">
        <v>161</v>
      </c>
      <c r="CA9" s="65" t="s">
        <v>162</v>
      </c>
      <c r="CB9" s="65" t="s">
        <v>163</v>
      </c>
      <c r="CC9" s="65" t="s">
        <v>164</v>
      </c>
      <c r="CD9" s="65" t="s">
        <v>165</v>
      </c>
      <c r="CE9" s="65" t="s">
        <v>166</v>
      </c>
      <c r="CF9" s="65" t="s">
        <v>167</v>
      </c>
      <c r="CG9" s="65" t="s">
        <v>168</v>
      </c>
    </row>
    <row r="10" spans="1:85" s="3" customFormat="1" ht="22.25" customHeight="1" x14ac:dyDescent="0.2">
      <c r="A10" s="82">
        <v>72105000</v>
      </c>
      <c r="B10" s="83" t="s">
        <v>70</v>
      </c>
      <c r="C10" s="66"/>
      <c r="D10" s="67"/>
      <c r="E10" s="67"/>
      <c r="F10" s="67"/>
      <c r="G10" s="67"/>
      <c r="H10" s="67"/>
      <c r="I10" s="67"/>
      <c r="J10" s="67"/>
      <c r="K10" s="67">
        <v>600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80"/>
    </row>
    <row r="11" spans="1:85" s="3" customFormat="1" ht="22.25" customHeight="1" x14ac:dyDescent="0.2">
      <c r="A11" s="37">
        <v>72125020</v>
      </c>
      <c r="B11" s="29" t="s">
        <v>67</v>
      </c>
      <c r="C11" s="81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3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450CDAC6DE1C4EA8F3E585019445FC" ma:contentTypeVersion="11" ma:contentTypeDescription="Create a new document." ma:contentTypeScope="" ma:versionID="6f35021c67bd42c1fa3113833edab194">
  <xsd:schema xmlns:xsd="http://www.w3.org/2001/XMLSchema" xmlns:xs="http://www.w3.org/2001/XMLSchema" xmlns:p="http://schemas.microsoft.com/office/2006/metadata/properties" xmlns:ns2="8e26b390-c4f7-49e4-b7f0-fa4cd402bd62" xmlns:ns3="6a70a198-3428-4fda-8ff0-05ef464319de" targetNamespace="http://schemas.microsoft.com/office/2006/metadata/properties" ma:root="true" ma:fieldsID="4e4c29f071394a778d5f5e8904e52da2" ns2:_="" ns3:_="">
    <xsd:import namespace="8e26b390-c4f7-49e4-b7f0-fa4cd402bd62"/>
    <xsd:import namespace="6a70a198-3428-4fda-8ff0-05ef464319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6b390-c4f7-49e4-b7f0-fa4cd402b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0a198-3428-4fda-8ff0-05ef464319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3C8303-08E6-4872-A5AD-63D89D30F8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64BF08-A1A8-4466-809A-4E79040DE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6b390-c4f7-49e4-b7f0-fa4cd402bd62"/>
    <ds:schemaRef ds:uri="6a70a198-3428-4fda-8ff0-05ef46431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59F531-EAB9-4181-B911-B4054FDF6C9E}">
  <ds:schemaRefs>
    <ds:schemaRef ds:uri="http://purl.org/dc/elements/1.1/"/>
    <ds:schemaRef ds:uri="http://purl.org/dc/terms/"/>
    <ds:schemaRef ds:uri="8e26b390-c4f7-49e4-b7f0-fa4cd402bd62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6a70a198-3428-4fda-8ff0-05ef464319de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Corby Welded 1</vt:lpstr>
      <vt:lpstr>Corby Welded 6</vt:lpstr>
      <vt:lpstr>Corby Welded 7</vt:lpstr>
      <vt:lpstr>Hartlepool 1</vt:lpstr>
      <vt:lpstr>Hartlepool 6</vt:lpstr>
      <vt:lpstr>Hartlepool 7</vt:lpstr>
      <vt:lpstr>Shotton 1</vt:lpstr>
      <vt:lpstr>Shotton 6</vt:lpstr>
      <vt:lpstr>Shotton 7</vt:lpstr>
      <vt:lpstr>Llanwern 1</vt:lpstr>
      <vt:lpstr>Llanwern 6</vt:lpstr>
      <vt:lpstr>Llanwern 7</vt:lpstr>
      <vt:lpstr>Port Talbot 1</vt:lpstr>
      <vt:lpstr>Port Talbot 2</vt:lpstr>
      <vt:lpstr>Port Talbot 6</vt:lpstr>
      <vt:lpstr>Port Talbot 7</vt:lpstr>
      <vt:lpstr>Trostre 1</vt:lpstr>
      <vt:lpstr>Trostre 6</vt:lpstr>
      <vt:lpstr>Trostre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Abbie Connolly</dc:creator>
  <cp:lastModifiedBy>Microsoft Office User</cp:lastModifiedBy>
  <dcterms:created xsi:type="dcterms:W3CDTF">2020-07-31T07:26:06Z</dcterms:created>
  <dcterms:modified xsi:type="dcterms:W3CDTF">2021-01-04T15:04:24Z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0x01010062450CDAC6DE1C4EA8F3E585019445FC</vt:lpwstr>
  </property>
</Properties>
</file>